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Summary" sheetId="1" state="visible" r:id="rId1"/>
    <sheet xmlns:r="http://schemas.openxmlformats.org/officeDocument/2006/relationships" name="ASVS DX Guide" sheetId="2" state="visible" r:id="rId2"/>
    <sheet xmlns:r="http://schemas.openxmlformats.org/officeDocument/2006/relationships" name="V1 - Encoding and Sanitization" sheetId="3" state="visible" r:id="rId3"/>
    <sheet xmlns:r="http://schemas.openxmlformats.org/officeDocument/2006/relationships" name="V2 - Validation and Business Lo" sheetId="4" state="visible" r:id="rId4"/>
    <sheet xmlns:r="http://schemas.openxmlformats.org/officeDocument/2006/relationships" name="V3 - Web Frontend Security" sheetId="5" state="visible" r:id="rId5"/>
    <sheet xmlns:r="http://schemas.openxmlformats.org/officeDocument/2006/relationships" name="V4 - API and Web Service" sheetId="6" state="visible" r:id="rId6"/>
    <sheet xmlns:r="http://schemas.openxmlformats.org/officeDocument/2006/relationships" name="V5 - File Handling" sheetId="7" state="visible" r:id="rId7"/>
    <sheet xmlns:r="http://schemas.openxmlformats.org/officeDocument/2006/relationships" name="V6 - Authentication" sheetId="8" state="visible" r:id="rId8"/>
    <sheet xmlns:r="http://schemas.openxmlformats.org/officeDocument/2006/relationships" name="V7 - Session Management" sheetId="9" state="visible" r:id="rId9"/>
    <sheet xmlns:r="http://schemas.openxmlformats.org/officeDocument/2006/relationships" name="V8 - Authorization" sheetId="10" state="visible" r:id="rId10"/>
    <sheet xmlns:r="http://schemas.openxmlformats.org/officeDocument/2006/relationships" name="V9 - Self-contained Tokens" sheetId="11" state="visible" r:id="rId11"/>
    <sheet xmlns:r="http://schemas.openxmlformats.org/officeDocument/2006/relationships" name="V10 - OAuth and OIDC" sheetId="12" state="visible" r:id="rId12"/>
    <sheet xmlns:r="http://schemas.openxmlformats.org/officeDocument/2006/relationships" name="V11 - Cryptography" sheetId="13" state="visible" r:id="rId13"/>
    <sheet xmlns:r="http://schemas.openxmlformats.org/officeDocument/2006/relationships" name="V12 - Secure Communication" sheetId="14" state="visible" r:id="rId14"/>
    <sheet xmlns:r="http://schemas.openxmlformats.org/officeDocument/2006/relationships" name="V13 - Configuration" sheetId="15" state="visible" r:id="rId15"/>
    <sheet xmlns:r="http://schemas.openxmlformats.org/officeDocument/2006/relationships" name="V14 - Data Protection" sheetId="16" state="visible" r:id="rId16"/>
    <sheet xmlns:r="http://schemas.openxmlformats.org/officeDocument/2006/relationships" name="V15 - Secure Coding and Archite" sheetId="17" state="visible" r:id="rId17"/>
    <sheet xmlns:r="http://schemas.openxmlformats.org/officeDocument/2006/relationships" name="V16 - Security Logging and Erro" sheetId="18" state="visible" r:id="rId18"/>
    <sheet xmlns:r="http://schemas.openxmlformats.org/officeDocument/2006/relationships" name="V17 - WebRTC" sheetId="19" state="visible" r:id="rId19"/>
    <sheet xmlns:r="http://schemas.openxmlformats.org/officeDocument/2006/relationships" name="ASVS Evidence" sheetId="20" state="visible" r:id="rId20"/>
  </sheets>
  <externalReferences>
    <externalReference xmlns:r="http://schemas.openxmlformats.org/officeDocument/2006/relationships" r:id="rId21"/>
  </externalReferences>
  <definedNames/>
  <calcPr calcId="191029" calcMode="auto" fullCalcOnLoad="1" iterateDelta="0.0001" forceFullCalc="1"/>
</workbook>
</file>

<file path=xl/styles.xml><?xml version="1.0" encoding="utf-8"?>
<styleSheet xmlns="http://schemas.openxmlformats.org/spreadsheetml/2006/main">
  <numFmts count="0"/>
  <fonts count="14">
    <font>
      <name val="Calibri"/>
      <charset val="1"/>
      <family val="2"/>
      <color rgb="FF000000"/>
      <sz val="11"/>
    </font>
    <font>
      <name val="Cambria"/>
      <charset val="1"/>
      <b val="1"/>
      <color rgb="FFFFFFFF"/>
      <sz val="16"/>
    </font>
    <font>
      <name val="Cambria"/>
      <charset val="1"/>
      <i val="1"/>
      <color rgb="FF595959"/>
      <sz val="10"/>
    </font>
    <font>
      <name val="Cambria"/>
      <charset val="1"/>
      <b val="1"/>
      <sz val="10"/>
    </font>
    <font>
      <name val="Cambria"/>
      <charset val="1"/>
      <b val="1"/>
      <sz val="9"/>
    </font>
    <font>
      <name val="Cambria"/>
      <charset val="1"/>
      <b val="1"/>
      <color rgb="FFFFFFFF"/>
      <sz val="9"/>
    </font>
    <font>
      <name val="Cambria"/>
      <charset val="1"/>
      <sz val="10"/>
    </font>
    <font>
      <name val="Cambria"/>
      <charset val="1"/>
      <b val="1"/>
      <color rgb="FFFFFFFF"/>
      <sz val="11"/>
    </font>
    <font>
      <name val="Cambria"/>
      <charset val="1"/>
      <b val="1"/>
      <color rgb="FFFFFFFF"/>
      <sz val="10"/>
    </font>
    <font>
      <name val="Cambria"/>
      <charset val="1"/>
      <b val="1"/>
      <color rgb="FF1F3864"/>
      <sz val="10"/>
    </font>
    <font>
      <name val="Calibri"/>
      <charset val="1"/>
      <family val="2"/>
      <color rgb="FF000000"/>
      <sz val="11"/>
      <u val="single"/>
    </font>
    <font>
      <b val="1"/>
    </font>
    <font>
      <b val="1"/>
      <color rgb="00FFFFFF"/>
      <sz val="16"/>
    </font>
    <font>
      <b val="1"/>
      <color rgb="00FFFFFF"/>
      <sz val="14"/>
    </font>
  </fonts>
  <fills count="15">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00D9EAF7"/>
      </patternFill>
    </fill>
    <fill>
      <patternFill patternType="solid">
        <fgColor rgb="00D9EAD3"/>
      </patternFill>
    </fill>
    <fill>
      <patternFill patternType="solid">
        <fgColor rgb="00E7E6E6"/>
      </patternFill>
    </fill>
    <fill>
      <patternFill patternType="solid">
        <fgColor rgb="00FFF2CC"/>
      </patternFill>
    </fill>
    <fill>
      <patternFill patternType="solid">
        <fgColor rgb="00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9" fontId="6" fillId="3"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9" fontId="6" fillId="4" borderId="1" applyAlignment="1" pivotButton="0" quotePrefix="0" xfId="0">
      <alignment horizontal="center" vertical="center"/>
    </xf>
    <xf numFmtId="0" fontId="7" fillId="2" borderId="1" pivotButton="0" quotePrefix="0" xfId="0"/>
    <xf numFmtId="0" fontId="8" fillId="2" borderId="1" applyAlignment="1" pivotButton="0" quotePrefix="0" xfId="0">
      <alignment horizontal="center" vertical="center"/>
    </xf>
    <xf numFmtId="9" fontId="8" fillId="2" borderId="1" applyAlignment="1" pivotButton="0" quotePrefix="0" xfId="0">
      <alignment horizontal="center" vertical="center"/>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3"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10" fillId="0" borderId="0" pivotButton="0" quotePrefix="0" xfId="0"/>
    <xf numFmtId="0" fontId="1" fillId="2" borderId="0" applyAlignment="1" pivotButton="0" quotePrefix="0" xfId="0">
      <alignment horizontal="center" vertical="center"/>
    </xf>
    <xf numFmtId="0" fontId="0" fillId="0" borderId="0" pivotButton="0" quotePrefix="0" xfId="0"/>
    <xf numFmtId="0" fontId="3" fillId="0" borderId="0" pivotButton="0" quotePrefix="0" xfId="0"/>
    <xf numFmtId="0" fontId="2" fillId="0" borderId="0" applyAlignment="1" pivotButton="0" quotePrefix="0" xfId="0">
      <alignment horizontal="center" vertical="center"/>
    </xf>
    <xf numFmtId="0" fontId="12" fillId="14" borderId="0" applyAlignment="1" pivotButton="0" quotePrefix="0" xfId="0">
      <alignment vertical="top" wrapText="1"/>
    </xf>
    <xf numFmtId="0" fontId="0" fillId="0" borderId="0" applyAlignment="1" pivotButton="0" quotePrefix="0" xfId="0">
      <alignment vertical="top" wrapText="1"/>
    </xf>
    <xf numFmtId="0" fontId="11" fillId="10" borderId="0" applyAlignment="1" pivotButton="0" quotePrefix="0" xfId="0">
      <alignment vertical="top" wrapText="1"/>
    </xf>
    <xf numFmtId="0" fontId="11" fillId="10" borderId="1" applyAlignment="1" pivotButton="0" quotePrefix="0" xfId="0">
      <alignment vertical="top" wrapText="1"/>
    </xf>
    <xf numFmtId="0" fontId="9" fillId="5" borderId="1" applyAlignment="1" pivotButton="0" quotePrefix="0" xfId="0">
      <alignment vertical="top" wrapText="1"/>
    </xf>
    <xf numFmtId="0" fontId="0" fillId="3" borderId="1" applyAlignment="1" pivotButton="0" quotePrefix="0" xfId="0">
      <alignment vertical="top" wrapText="1"/>
    </xf>
    <xf numFmtId="0" fontId="3" fillId="6" borderId="1" applyAlignment="1" pivotButton="0" quotePrefix="0" xfId="0">
      <alignment vertical="top" wrapText="1"/>
    </xf>
    <xf numFmtId="0" fontId="0" fillId="11" borderId="1" applyAlignment="1" pivotButton="0" quotePrefix="0" xfId="0">
      <alignment vertical="top" wrapText="1"/>
    </xf>
    <xf numFmtId="0" fontId="0" fillId="4" borderId="1" applyAlignment="1" pivotButton="0" quotePrefix="0" xfId="0">
      <alignment vertical="top" wrapText="1"/>
    </xf>
    <xf numFmtId="0" fontId="3" fillId="8" borderId="1" applyAlignment="1" pivotButton="0" quotePrefix="0" xfId="0">
      <alignment vertical="top" wrapText="1"/>
    </xf>
    <xf numFmtId="0" fontId="0" fillId="12" borderId="1" applyAlignment="1" pivotButton="0" quotePrefix="0" xfId="0">
      <alignment vertical="top" wrapText="1"/>
    </xf>
    <xf numFmtId="0" fontId="3" fillId="9" borderId="1" applyAlignment="1" pivotButton="0" quotePrefix="0" xfId="0">
      <alignment vertical="top" wrapText="1"/>
    </xf>
    <xf numFmtId="0" fontId="0" fillId="13" borderId="1" applyAlignment="1" pivotButton="0" quotePrefix="0" xfId="0">
      <alignment vertical="top" wrapText="1"/>
    </xf>
    <xf numFmtId="0" fontId="13" fillId="14"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externalLink" Target="/xl/externalLinks/externalLink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ASVS 5.0 Compliance by Chapter</a:t>
            </a:r>
          </a:p>
        </rich>
      </tx>
    </title>
    <plotArea>
      <barChart>
        <barDir val="col"/>
        <grouping val="clustered"/>
        <ser>
          <idx val="0"/>
          <order val="0"/>
          <tx>
            <v>L1 Compliant</v>
          </tx>
          <spPr>
            <a:ln xmlns:a="http://schemas.openxmlformats.org/drawingml/2006/main">
              <a:prstDash val="solid"/>
            </a:ln>
          </spPr>
          <cat>
            <numRef>
              <f>'Summary'!$A$6:$A$22</f>
            </numRef>
          </cat>
          <val>
            <numRef>
              <f>'Summary'!$D$6:$D$22</f>
            </numRef>
          </val>
        </ser>
        <ser>
          <idx val="1"/>
          <order val="1"/>
          <tx>
            <v>L2 Compliant</v>
          </tx>
          <spPr>
            <a:ln xmlns:a="http://schemas.openxmlformats.org/drawingml/2006/main">
              <a:prstDash val="solid"/>
            </a:ln>
          </spPr>
          <cat>
            <numRef>
              <f>'Summary'!$A$6:$A$22</f>
            </numRef>
          </cat>
          <val>
            <numRef>
              <f>'Summary'!$G$6:$G$22</f>
            </numRef>
          </val>
        </ser>
        <ser>
          <idx val="2"/>
          <order val="2"/>
          <tx>
            <v>L3 Compliant</v>
          </tx>
          <spPr>
            <a:ln xmlns:a="http://schemas.openxmlformats.org/drawingml/2006/main">
              <a:prstDash val="solid"/>
            </a:ln>
          </spPr>
          <cat>
            <numRef>
              <f>'Summary'!$A$6:$A$22</f>
            </numRef>
          </cat>
          <val>
            <numRef>
              <f>'Summary'!$J$6:$J$22</f>
            </numRef>
          </val>
        </ser>
        <ser>
          <idx val="3"/>
          <order val="3"/>
          <tx>
            <v>Overall Compliant</v>
          </tx>
          <spPr>
            <a:ln xmlns:a="http://schemas.openxmlformats.org/drawingml/2006/main">
              <a:prstDash val="solid"/>
            </a:ln>
          </spPr>
          <cat>
            <numRef>
              <f>'Summary'!$A$6:$A$22</f>
            </numRef>
          </cat>
          <val>
            <numRef>
              <f>'Summary'!$L$6:$L$22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Chapter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Compliant Requirements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14</col>
      <colOff>0</colOff>
      <row>4</row>
      <rowOff>0</rowOff>
    </from>
    <ext cx="1080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file:///C:\Users\M&#225;rio%20Zoio\Downloads\ASVS_5.0_Tracker1.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V1 - Encoding and Sanitization"/>
      <sheetName val="V2 - Validation and Business Lo"/>
      <sheetName val="V3 - Web Frontend Security"/>
      <sheetName val="V4 - API and Web Service"/>
      <sheetName val="V5 - File Handling"/>
      <sheetName val="V6 - Authentication"/>
      <sheetName val="V7 - Session Management"/>
      <sheetName val="V8 - Authorization"/>
      <sheetName val="V9 - Self-contained Tokens"/>
      <sheetName val="V10 - OAuth and OIDC"/>
      <sheetName val="V11 - Cryptography"/>
      <sheetName val="V12 - Secure Communication"/>
      <sheetName val="V13 - Configuration"/>
      <sheetName val="V14 - Data Protection"/>
      <sheetName val="V15 - Secure Coding and Archite"/>
      <sheetName val="V16 - Security Logging and Erro"/>
      <sheetName val="V17 - WebRTC"/>
    </sheetNames>
    <sheetDataSet>
      <sheetData sheetId="0">
        <row r="5">
          <cell r="E5" t="str">
            <v>L1
%</v>
          </cell>
          <cell r="H5" t="str">
            <v>L2
%</v>
          </cell>
          <cell r="K5" t="str">
            <v>L3
%</v>
          </cell>
          <cell r="M5" t="str">
            <v>Overall
%</v>
          </cell>
        </row>
        <row r="6">
          <cell r="A6" t="str">
            <v>V1 – Encoding and Sanitization</v>
          </cell>
          <cell r="E6">
            <v>0.25</v>
          </cell>
          <cell r="H6">
            <v>0.26315789473684209</v>
          </cell>
          <cell r="K6">
            <v>0.33333333333333331</v>
          </cell>
          <cell r="M6">
            <v>0.26666666666666666</v>
          </cell>
        </row>
        <row r="7">
          <cell r="A7" t="str">
            <v>V2 – Validation and Business Logic</v>
          </cell>
          <cell r="E7">
            <v>0.25</v>
          </cell>
          <cell r="H7">
            <v>0.5714285714285714</v>
          </cell>
          <cell r="K7">
            <v>0</v>
          </cell>
          <cell r="M7">
            <v>0.38461538461538464</v>
          </cell>
        </row>
        <row r="8">
          <cell r="A8" t="str">
            <v>V3 – Web Frontend Security</v>
          </cell>
          <cell r="E8">
            <v>0.875</v>
          </cell>
          <cell r="H8">
            <v>0.36363636363636365</v>
          </cell>
          <cell r="K8">
            <v>0.33333333333333331</v>
          </cell>
          <cell r="M8">
            <v>0.4838709677419355</v>
          </cell>
        </row>
        <row r="9">
          <cell r="A9" t="str">
            <v>V4 – API and Web Service</v>
          </cell>
          <cell r="E9">
            <v>0.5</v>
          </cell>
          <cell r="H9">
            <v>0.375</v>
          </cell>
          <cell r="K9">
            <v>0.66666666666666663</v>
          </cell>
          <cell r="M9">
            <v>0.5</v>
          </cell>
        </row>
        <row r="10">
          <cell r="A10" t="str">
            <v>V5 – File Handling</v>
          </cell>
          <cell r="E10">
            <v>0</v>
          </cell>
          <cell r="H10">
            <v>0</v>
          </cell>
          <cell r="K10">
            <v>0</v>
          </cell>
          <cell r="M10">
            <v>0</v>
          </cell>
        </row>
        <row r="11">
          <cell r="A11" t="str">
            <v>V6 – Authentication</v>
          </cell>
          <cell r="E11">
            <v>0.15384615384615385</v>
          </cell>
          <cell r="H11">
            <v>4.5454545454545456E-2</v>
          </cell>
          <cell r="K11">
            <v>0</v>
          </cell>
          <cell r="M11">
            <v>6.3829787234042548E-2</v>
          </cell>
        </row>
        <row r="12">
          <cell r="A12" t="str">
            <v>V7 – Session Management</v>
          </cell>
          <cell r="E12">
            <v>0.66666666666666663</v>
          </cell>
          <cell r="H12">
            <v>8.3333333333333329E-2</v>
          </cell>
          <cell r="K12">
            <v>0</v>
          </cell>
          <cell r="M12">
            <v>0.26315789473684209</v>
          </cell>
        </row>
        <row r="13">
          <cell r="A13" t="str">
            <v>V8 – Authorization</v>
          </cell>
          <cell r="E13">
            <v>0.5</v>
          </cell>
          <cell r="H13">
            <v>0</v>
          </cell>
          <cell r="K13">
            <v>0.16666666666666666</v>
          </cell>
          <cell r="M13">
            <v>0.23076923076923078</v>
          </cell>
        </row>
        <row r="14">
          <cell r="A14" t="str">
            <v>V9 – Self-contained Tokens</v>
          </cell>
          <cell r="E14">
            <v>1</v>
          </cell>
          <cell r="H14">
            <v>0.66666666666666663</v>
          </cell>
          <cell r="K14" t="str">
            <v>N/A</v>
          </cell>
          <cell r="M14">
            <v>0.8571428571428571</v>
          </cell>
        </row>
        <row r="15">
          <cell r="A15" t="str">
            <v>V10 – OAuth and OIDC</v>
          </cell>
          <cell r="E15">
            <v>0.2</v>
          </cell>
          <cell r="H15">
            <v>0.25</v>
          </cell>
          <cell r="K15">
            <v>0.14285714285714285</v>
          </cell>
          <cell r="M15">
            <v>0.22222222222222221</v>
          </cell>
        </row>
        <row r="16">
          <cell r="A16" t="str">
            <v>V11 – Cryptography</v>
          </cell>
          <cell r="E16">
            <v>1</v>
          </cell>
          <cell r="H16">
            <v>0.54545454545454541</v>
          </cell>
          <cell r="K16">
            <v>0.4</v>
          </cell>
          <cell r="M16">
            <v>0.54166666666666663</v>
          </cell>
        </row>
        <row r="17">
          <cell r="A17" t="str">
            <v>V12 – Secure Communication</v>
          </cell>
          <cell r="E17">
            <v>0</v>
          </cell>
          <cell r="H17">
            <v>0</v>
          </cell>
          <cell r="K17">
            <v>0</v>
          </cell>
          <cell r="M17">
            <v>0</v>
          </cell>
        </row>
        <row r="18">
          <cell r="A18" t="str">
            <v>V13 – Configuration</v>
          </cell>
          <cell r="E18">
            <v>0</v>
          </cell>
          <cell r="H18">
            <v>0</v>
          </cell>
          <cell r="K18">
            <v>0</v>
          </cell>
          <cell r="M18">
            <v>0</v>
          </cell>
        </row>
        <row r="19">
          <cell r="A19" t="str">
            <v>V14 – Data Protection</v>
          </cell>
          <cell r="E19">
            <v>0.5</v>
          </cell>
          <cell r="H19">
            <v>0.2857142857142857</v>
          </cell>
          <cell r="K19">
            <v>0.25</v>
          </cell>
          <cell r="M19">
            <v>0.30769230769230771</v>
          </cell>
        </row>
        <row r="20">
          <cell r="A20" t="str">
            <v>V15 – Secure Coding and Architecture</v>
          </cell>
          <cell r="E20">
            <v>0</v>
          </cell>
          <cell r="H20">
            <v>0</v>
          </cell>
          <cell r="K20">
            <v>0</v>
          </cell>
          <cell r="M20">
            <v>0</v>
          </cell>
        </row>
        <row r="21">
          <cell r="A21" t="str">
            <v>V16 – Security Logging and Error Handling</v>
          </cell>
          <cell r="E21" t="str">
            <v>N/A</v>
          </cell>
          <cell r="H21">
            <v>0.375</v>
          </cell>
          <cell r="K21">
            <v>0</v>
          </cell>
          <cell r="M21">
            <v>0.35294117647058826</v>
          </cell>
        </row>
        <row r="22">
          <cell r="A22" t="str">
            <v>V17 – WebRTC</v>
          </cell>
          <cell r="E22" t="str">
            <v>N/A</v>
          </cell>
          <cell r="H22">
            <v>0</v>
          </cell>
          <cell r="M2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K23"/>
  <sheetViews>
    <sheetView showGridLines="0" tabSelected="1" zoomScale="55" zoomScaleNormal="55" workbookViewId="0">
      <selection activeCell="R37" sqref="R37"/>
    </sheetView>
  </sheetViews>
  <sheetFormatPr baseColWidth="8" defaultColWidth="8.5546875" defaultRowHeight="14.4"/>
  <cols>
    <col width="34" customWidth="1" style="26" min="1" max="1"/>
    <col width="11" customWidth="1" style="26" min="2" max="13"/>
  </cols>
  <sheetData>
    <row r="1" ht="36" customHeight="1" s="26">
      <c r="A1" s="25" t="inlineStr">
        <is>
          <t>OWASP ASVS 5.0 – Compliance Tracker</t>
        </is>
      </c>
    </row>
    <row r="2" ht="19.95" customHeight="1" s="26">
      <c r="A2" s="28" t="n"/>
    </row>
    <row r="3" ht="18" customHeight="1" s="26">
      <c r="A3" s="27" t="n"/>
      <c r="C3" s="1" t="n"/>
      <c r="E3" s="1" t="n"/>
      <c r="G3" s="1" t="n"/>
      <c r="I3" s="1" t="n"/>
      <c r="K3" s="1" t="n"/>
      <c r="M3" s="1" t="n"/>
      <c r="O3" s="1" t="n"/>
    </row>
    <row r="5" ht="31.95" customHeight="1" s="26">
      <c r="A5" s="2" t="inlineStr">
        <is>
          <t>Chapter</t>
        </is>
      </c>
      <c r="B5" s="2" t="inlineStr">
        <is>
          <t>Total
Reqs</t>
        </is>
      </c>
      <c r="C5" s="2" t="inlineStr">
        <is>
          <t>L1
Total</t>
        </is>
      </c>
      <c r="D5" s="2" t="inlineStr">
        <is>
          <t>L1
Compliant</t>
        </is>
      </c>
      <c r="E5" s="2" t="inlineStr">
        <is>
          <t>L1
%</t>
        </is>
      </c>
      <c r="F5" s="2" t="inlineStr">
        <is>
          <t>L2
Total</t>
        </is>
      </c>
      <c r="G5" s="2" t="inlineStr">
        <is>
          <t>L2
Compliant</t>
        </is>
      </c>
      <c r="H5" s="2" t="inlineStr">
        <is>
          <t>L2
%</t>
        </is>
      </c>
      <c r="I5" s="2" t="inlineStr">
        <is>
          <t>L3
Total</t>
        </is>
      </c>
      <c r="J5" s="2" t="inlineStr">
        <is>
          <t>L3
Compliant</t>
        </is>
      </c>
      <c r="K5" s="2" t="inlineStr">
        <is>
          <t>L3
%</t>
        </is>
      </c>
      <c r="L5" s="2" t="inlineStr">
        <is>
          <t>Overall
Compliant</t>
        </is>
      </c>
      <c r="M5" s="2" t="inlineStr">
        <is>
          <t>Overall
%</t>
        </is>
      </c>
    </row>
    <row r="6" ht="18" customHeight="1" s="26">
      <c r="A6" s="3" t="inlineStr">
        <is>
          <t>V1 – Encoding and Sanitization</t>
        </is>
      </c>
      <c r="B6" s="4" t="n">
        <v>30</v>
      </c>
      <c r="C6" s="4" t="n">
        <v>8</v>
      </c>
      <c r="D6" s="4">
        <f>COUNTIFS('V1 - Encoding and Sanitization'!$F$2:$F$36,"Compliant",'V1 - Encoding and Sanitization'!$E$2:$E$36,1)</f>
        <v/>
      </c>
      <c r="E6" s="5">
        <f>IF(C6=0,"",D6/C6)</f>
        <v/>
      </c>
      <c r="F6" s="4" t="n">
        <v>19</v>
      </c>
      <c r="G6" s="4">
        <f>COUNTIFS('V1 - Encoding and Sanitization'!$F$2:$F$36,"Compliant",'V1 - Encoding and Sanitization'!$E$2:$E$36,2)</f>
        <v/>
      </c>
      <c r="H6" s="5">
        <f>IF(F6=0,"",G6/F6)</f>
        <v/>
      </c>
      <c r="I6" s="4" t="n">
        <v>3</v>
      </c>
      <c r="J6" s="4">
        <f>COUNTIFS('V1 - Encoding and Sanitization'!$F$2:$F$36,"Compliant",'V1 - Encoding and Sanitization'!$E$2:$E$36,3)</f>
        <v/>
      </c>
      <c r="K6" s="5">
        <f>IF(I6=0,"",J6/I6)</f>
        <v/>
      </c>
      <c r="L6" s="4">
        <f>COUNTIF('V1 - Encoding and Sanitization'!$F$2:$F$36,"Compliant")</f>
        <v/>
      </c>
      <c r="M6" s="5">
        <f>IF(B6=0,"",L6/B6)</f>
        <v/>
      </c>
    </row>
    <row r="7" ht="18" customHeight="1" s="26">
      <c r="A7" s="6" t="inlineStr">
        <is>
          <t>V2 – Validation and Business Logic</t>
        </is>
      </c>
      <c r="B7" s="7" t="n">
        <v>13</v>
      </c>
      <c r="C7" s="7" t="n">
        <v>4</v>
      </c>
      <c r="D7" s="7">
        <f>COUNTIFS('V2 - Validation and Business Lo'!$F$2:$F$18,"Compliant",'V2 - Validation and Business Lo'!$E$2:$E$18,1)</f>
        <v/>
      </c>
      <c r="E7" s="8">
        <f>IF(C7=0,"",D7/C7)</f>
        <v/>
      </c>
      <c r="F7" s="7" t="n">
        <v>7</v>
      </c>
      <c r="G7" s="7">
        <f>COUNTIFS('V2 - Validation and Business Lo'!$F$2:$F$18,"Compliant",'V2 - Validation and Business Lo'!$E$2:$E$18,2)</f>
        <v/>
      </c>
      <c r="H7" s="8">
        <f>IF(F7=0,"",G7/F7)</f>
        <v/>
      </c>
      <c r="I7" s="7" t="n">
        <v>2</v>
      </c>
      <c r="J7" s="7">
        <f>COUNTIFS('V2 - Validation and Business Lo'!$F$2:$F$18,"Compliant",'V2 - Validation and Business Lo'!$E$2:$E$18,3)</f>
        <v/>
      </c>
      <c r="K7" s="8">
        <f>IF(I7=0,"",J7/I7)</f>
        <v/>
      </c>
      <c r="L7" s="7">
        <f>COUNTIF('V2 - Validation and Business Lo'!$F$2:$F$18,"Compliant")</f>
        <v/>
      </c>
      <c r="M7" s="8">
        <f>IF(B7=0,"",L7/B7)</f>
        <v/>
      </c>
    </row>
    <row r="8" ht="18" customHeight="1" s="26">
      <c r="A8" s="3" t="inlineStr">
        <is>
          <t>V3 – Web Frontend Security</t>
        </is>
      </c>
      <c r="B8" s="4" t="n">
        <v>31</v>
      </c>
      <c r="C8" s="4" t="n">
        <v>8</v>
      </c>
      <c r="D8" s="4">
        <f>COUNTIFS('V3 - Web Frontend Security'!$F$2:$F$39,"Compliant",'V3 - Web Frontend Security'!$E$2:$E$39,1)</f>
        <v/>
      </c>
      <c r="E8" s="5">
        <f>IF(C8=0,"",D8/C8)</f>
        <v/>
      </c>
      <c r="F8" s="4" t="n">
        <v>11</v>
      </c>
      <c r="G8" s="4">
        <f>COUNTIFS('V3 - Web Frontend Security'!$F$2:$F$39,"Compliant",'V3 - Web Frontend Security'!$E$2:$E$39,2)</f>
        <v/>
      </c>
      <c r="H8" s="5">
        <f>IF(F8=0,"",G8/F8)</f>
        <v/>
      </c>
      <c r="I8" s="4" t="n">
        <v>12</v>
      </c>
      <c r="J8" s="4">
        <f>COUNTIFS('V3 - Web Frontend Security'!$F$2:$F$39,"Compliant",'V3 - Web Frontend Security'!$E$2:$E$39,3)</f>
        <v/>
      </c>
      <c r="K8" s="5">
        <f>IF(I8=0,"",J8/I8)</f>
        <v/>
      </c>
      <c r="L8" s="4">
        <f>COUNTIF('V3 - Web Frontend Security'!$F$2:$F$39,"Compliant")</f>
        <v/>
      </c>
      <c r="M8" s="5">
        <f>IF(B8=0,"",L8/B8)</f>
        <v/>
      </c>
    </row>
    <row r="9" ht="18" customHeight="1" s="26">
      <c r="A9" s="6" t="inlineStr">
        <is>
          <t>V4 – API and Web Service</t>
        </is>
      </c>
      <c r="B9" s="7" t="n">
        <v>16</v>
      </c>
      <c r="C9" s="7" t="n">
        <v>2</v>
      </c>
      <c r="D9" s="7">
        <f>COUNTIFS('V4 - API and Web Service'!$F$2:$F$21,"Compliant",'V4 - API and Web Service'!$E$2:$E$21,1)</f>
        <v/>
      </c>
      <c r="E9" s="8">
        <f>IF(C9=0,"",D9/C9)</f>
        <v/>
      </c>
      <c r="F9" s="7" t="n">
        <v>8</v>
      </c>
      <c r="G9" s="7">
        <f>COUNTIFS('V4 - API and Web Service'!$F$2:$F$21,"Compliant",'V4 - API and Web Service'!$E$2:$E$21,2)</f>
        <v/>
      </c>
      <c r="H9" s="8">
        <f>IF(F9=0,"",G9/F9)</f>
        <v/>
      </c>
      <c r="I9" s="7" t="n">
        <v>6</v>
      </c>
      <c r="J9" s="7">
        <f>COUNTIFS('V4 - API and Web Service'!$F$2:$F$21,"Compliant",'V4 - API and Web Service'!$E$2:$E$21,3)</f>
        <v/>
      </c>
      <c r="K9" s="8">
        <f>IF(I9=0,"",J9/I9)</f>
        <v/>
      </c>
      <c r="L9" s="7">
        <f>COUNTIF('V4 - API and Web Service'!$F$2:$F$21,"Compliant")</f>
        <v/>
      </c>
      <c r="M9" s="8">
        <f>IF(B9=0,"",L9/B9)</f>
        <v/>
      </c>
      <c r="AK9" s="24" t="n"/>
    </row>
    <row r="10" ht="18" customHeight="1" s="26">
      <c r="A10" s="3" t="inlineStr">
        <is>
          <t>V5 – File Handling</t>
        </is>
      </c>
      <c r="B10" s="4" t="n">
        <v>13</v>
      </c>
      <c r="C10" s="4" t="n">
        <v>4</v>
      </c>
      <c r="D10" s="4">
        <f>COUNTIFS('V5 - File Handling'!$F$2:$F$18,"Compliant",'V5 - File Handling'!$E$2:$E$18,1)</f>
        <v/>
      </c>
      <c r="E10" s="5">
        <f>IF(C10=0,"",D10/C10)</f>
        <v/>
      </c>
      <c r="F10" s="4" t="n">
        <v>5</v>
      </c>
      <c r="G10" s="4">
        <f>COUNTIFS('V5 - File Handling'!$F$2:$F$18,"Compliant",'V5 - File Handling'!$E$2:$E$18,2)</f>
        <v/>
      </c>
      <c r="H10" s="5">
        <f>IF(F10=0,"",G10/F10)</f>
        <v/>
      </c>
      <c r="I10" s="4" t="n">
        <v>4</v>
      </c>
      <c r="J10" s="4">
        <f>COUNTIFS('V5 - File Handling'!$F$2:$F$18,"Compliant",'V5 - File Handling'!$E$2:$E$18,3)</f>
        <v/>
      </c>
      <c r="K10" s="5">
        <f>IF(I10=0,"",J10/I10)</f>
        <v/>
      </c>
      <c r="L10" s="4">
        <f>COUNTIF('V5 - File Handling'!$F$2:$F$18,"Compliant")</f>
        <v/>
      </c>
      <c r="M10" s="5">
        <f>IF(B10=0,"",L10/B10)</f>
        <v/>
      </c>
    </row>
    <row r="11" ht="18" customHeight="1" s="26">
      <c r="A11" s="6" t="inlineStr">
        <is>
          <t>V6 – Authentication</t>
        </is>
      </c>
      <c r="B11" s="7" t="n">
        <v>47</v>
      </c>
      <c r="C11" s="7" t="n">
        <v>13</v>
      </c>
      <c r="D11" s="7">
        <f>COUNTIFS('V6 - Authentication'!$F$2:$F$56,"Compliant",'V6 - Authentication'!$E$2:$E$56,1)</f>
        <v/>
      </c>
      <c r="E11" s="8">
        <f>IF(C11=0,"",D11/C11)</f>
        <v/>
      </c>
      <c r="F11" s="7" t="n">
        <v>22</v>
      </c>
      <c r="G11" s="7">
        <f>COUNTIFS('V6 - Authentication'!$F$2:$F$56,"Compliant",'V6 - Authentication'!$E$2:$E$56,2)</f>
        <v/>
      </c>
      <c r="H11" s="8">
        <f>IF(F11=0,"",G11/F11)</f>
        <v/>
      </c>
      <c r="I11" s="7" t="n">
        <v>12</v>
      </c>
      <c r="J11" s="7">
        <f>COUNTIFS('V6 - Authentication'!$F$2:$F$56,"Compliant",'V6 - Authentication'!$E$2:$E$56,3)</f>
        <v/>
      </c>
      <c r="K11" s="8">
        <f>IF(I11=0,"",J11/I11)</f>
        <v/>
      </c>
      <c r="L11" s="7">
        <f>COUNTIF('V6 - Authentication'!$F$2:$F$56,"Compliant")</f>
        <v/>
      </c>
      <c r="M11" s="8">
        <f>IF(B11=0,"",L11/B11)</f>
        <v/>
      </c>
    </row>
    <row r="12" ht="18" customHeight="1" s="26">
      <c r="A12" s="3" t="inlineStr">
        <is>
          <t>V7 – Session Management</t>
        </is>
      </c>
      <c r="B12" s="4" t="n">
        <v>19</v>
      </c>
      <c r="C12" s="4" t="n">
        <v>6</v>
      </c>
      <c r="D12" s="4">
        <f>COUNTIFS('V7 - Session Management'!$F$2:$F$26,"Compliant",'V7 - Session Management'!$E$2:$E$26,1)</f>
        <v/>
      </c>
      <c r="E12" s="5">
        <f>IF(C12=0,"",D12/C12)</f>
        <v/>
      </c>
      <c r="F12" s="4" t="n">
        <v>12</v>
      </c>
      <c r="G12" s="4">
        <f>COUNTIFS('V7 - Session Management'!$F$2:$F$26,"Compliant",'V7 - Session Management'!$E$2:$E$26,2)</f>
        <v/>
      </c>
      <c r="H12" s="5">
        <f>IF(F12=0,"",G12/F12)</f>
        <v/>
      </c>
      <c r="I12" s="4" t="n">
        <v>1</v>
      </c>
      <c r="J12" s="4">
        <f>COUNTIFS('V7 - Session Management'!$F$2:$F$26,"Compliant",'V7 - Session Management'!$E$2:$E$26,3)</f>
        <v/>
      </c>
      <c r="K12" s="5">
        <f>IF(I12=0,"",J12/I12)</f>
        <v/>
      </c>
      <c r="L12" s="4">
        <f>COUNTIF('V7 - Session Management'!$F$2:$F$26,"Compliant")</f>
        <v/>
      </c>
      <c r="M12" s="5">
        <f>IF(B12=0,"",L12/B12)</f>
        <v/>
      </c>
    </row>
    <row r="13" ht="18" customHeight="1" s="26">
      <c r="A13" s="6" t="inlineStr">
        <is>
          <t>V8 – Authorization</t>
        </is>
      </c>
      <c r="B13" s="7" t="n">
        <v>13</v>
      </c>
      <c r="C13" s="7" t="n">
        <v>4</v>
      </c>
      <c r="D13" s="7">
        <f>COUNTIFS('V8 - Authorization'!$F$2:$F$18,"Compliant",'V8 - Authorization'!$E$2:$E$18,1)</f>
        <v/>
      </c>
      <c r="E13" s="8">
        <f>IF(C13=0,"",D13/C13)</f>
        <v/>
      </c>
      <c r="F13" s="7" t="n">
        <v>3</v>
      </c>
      <c r="G13" s="7">
        <f>COUNTIFS('V8 - Authorization'!$F$2:$F$18,"Compliant",'V8 - Authorization'!$E$2:$E$18,2)</f>
        <v/>
      </c>
      <c r="H13" s="8">
        <f>IF(F13=0,"",G13/F13)</f>
        <v/>
      </c>
      <c r="I13" s="7" t="n">
        <v>6</v>
      </c>
      <c r="J13" s="7">
        <f>COUNTIFS('V8 - Authorization'!$F$2:$F$18,"Compliant",'V8 - Authorization'!$E$2:$E$18,3)</f>
        <v/>
      </c>
      <c r="K13" s="8">
        <f>IF(I13=0,"",J13/I13)</f>
        <v/>
      </c>
      <c r="L13" s="7">
        <f>COUNTIF('V8 - Authorization'!$F$2:$F$18,"Compliant")</f>
        <v/>
      </c>
      <c r="M13" s="8">
        <f>IF(B13=0,"",L13/B13)</f>
        <v/>
      </c>
    </row>
    <row r="14" ht="18" customHeight="1" s="26">
      <c r="A14" s="3" t="inlineStr">
        <is>
          <t>V9 – Self-contained Tokens</t>
        </is>
      </c>
      <c r="B14" s="4" t="n">
        <v>7</v>
      </c>
      <c r="C14" s="4" t="n">
        <v>4</v>
      </c>
      <c r="D14" s="4">
        <f>COUNTIFS('V9 - Self-contained Tokens'!$F$2:$F$10,"Compliant",'V9 - Self-contained Tokens'!$E$2:$E$10,1)</f>
        <v/>
      </c>
      <c r="E14" s="5">
        <f>IF(C14=0,"",D14/C14)</f>
        <v/>
      </c>
      <c r="F14" s="4" t="n">
        <v>3</v>
      </c>
      <c r="G14" s="4">
        <f>COUNTIFS('V9 - Self-contained Tokens'!$F$2:$F$10,"Compliant",'V9 - Self-contained Tokens'!$E$2:$E$10,2)</f>
        <v/>
      </c>
      <c r="H14" s="5">
        <f>IF(F14=0,"",G14/F14)</f>
        <v/>
      </c>
      <c r="I14" s="4" t="n">
        <v>0</v>
      </c>
      <c r="J14" s="4" t="inlineStr">
        <is>
          <t>N/A</t>
        </is>
      </c>
      <c r="K14" s="4" t="inlineStr">
        <is>
          <t>N/A</t>
        </is>
      </c>
      <c r="L14" s="4">
        <f>COUNTIF('V9 - Self-contained Tokens'!$F$2:$F$10,"Compliant")</f>
        <v/>
      </c>
      <c r="M14" s="5">
        <f>IF(B14=0,"",L14/B14)</f>
        <v/>
      </c>
    </row>
    <row r="15" ht="18" customHeight="1" s="26">
      <c r="A15" s="6" t="inlineStr">
        <is>
          <t>V10 – OAuth and OIDC</t>
        </is>
      </c>
      <c r="B15" s="7" t="n">
        <v>36</v>
      </c>
      <c r="C15" s="7" t="n">
        <v>5</v>
      </c>
      <c r="D15" s="7">
        <f>COUNTIFS('V10 - OAuth and OIDC'!$F$2:$F$44,"Compliant",'V10 - OAuth and OIDC'!$E$2:$E$44,1)</f>
        <v/>
      </c>
      <c r="E15" s="8">
        <f>IF(C15=0,"",D15/C15)</f>
        <v/>
      </c>
      <c r="F15" s="7" t="n">
        <v>24</v>
      </c>
      <c r="G15" s="7">
        <f>COUNTIFS('V10 - OAuth and OIDC'!$F$2:$F$44,"Compliant",'V10 - OAuth and OIDC'!$E$2:$E$44,2)</f>
        <v/>
      </c>
      <c r="H15" s="8">
        <f>IF(F15=0,"",G15/F15)</f>
        <v/>
      </c>
      <c r="I15" s="7" t="n">
        <v>7</v>
      </c>
      <c r="J15" s="7">
        <f>COUNTIFS('V10 - OAuth and OIDC'!$F$2:$F$44,"Compliant",'V10 - OAuth and OIDC'!$E$2:$E$44,3)</f>
        <v/>
      </c>
      <c r="K15" s="8">
        <f>IF(I15=0,"",J15/I15)</f>
        <v/>
      </c>
      <c r="L15" s="7">
        <f>COUNTIF('V10 - OAuth and OIDC'!$F$2:$F$44,"Compliant")</f>
        <v/>
      </c>
      <c r="M15" s="8">
        <f>IF(B15=0,"",L15/B15)</f>
        <v/>
      </c>
    </row>
    <row r="16" ht="18" customHeight="1" s="26">
      <c r="A16" s="3" t="inlineStr">
        <is>
          <t>V11 – Cryptography</t>
        </is>
      </c>
      <c r="B16" s="4" t="n">
        <v>24</v>
      </c>
      <c r="C16" s="4" t="n">
        <v>3</v>
      </c>
      <c r="D16" s="4">
        <f>COUNTIFS('V11 - Cryptography'!$F$2:$F$32,"Compliant",'V11 - Cryptography'!$E$2:$E$32,1)</f>
        <v/>
      </c>
      <c r="E16" s="5">
        <f>IF(C16=0,"",D16/C16)</f>
        <v/>
      </c>
      <c r="F16" s="4" t="n">
        <v>11</v>
      </c>
      <c r="G16" s="4">
        <f>COUNTIFS('V11 - Cryptography'!$F$2:$F$32,"Compliant",'V11 - Cryptography'!$E$2:$E$32,2)</f>
        <v/>
      </c>
      <c r="H16" s="5">
        <f>IF(F16=0,"",G16/F16)</f>
        <v/>
      </c>
      <c r="I16" s="4" t="n">
        <v>10</v>
      </c>
      <c r="J16" s="4">
        <f>COUNTIFS('V11 - Cryptography'!$F$2:$F$32,"Compliant",'V11 - Cryptography'!$E$2:$E$32,3)</f>
        <v/>
      </c>
      <c r="K16" s="5">
        <f>IF(I16=0,"",J16/I16)</f>
        <v/>
      </c>
      <c r="L16" s="4">
        <f>COUNTIF('V11 - Cryptography'!$F$2:$F$32,"Compliant")</f>
        <v/>
      </c>
      <c r="M16" s="5">
        <f>IF(B16=0,"",L16/B16)</f>
        <v/>
      </c>
    </row>
    <row r="17" ht="18" customHeight="1" s="26">
      <c r="A17" s="6" t="inlineStr">
        <is>
          <t>V12 – Secure Communication</t>
        </is>
      </c>
      <c r="B17" s="7" t="n">
        <v>12</v>
      </c>
      <c r="C17" s="7" t="n">
        <v>3</v>
      </c>
      <c r="D17" s="7">
        <f>COUNTIFS('V12 - Secure Communication'!$F$2:$F$16,"Compliant",'V12 - Secure Communication'!$E$2:$E$16,1)</f>
        <v/>
      </c>
      <c r="E17" s="8">
        <f>IF(C17=0,"",D17/C17)</f>
        <v/>
      </c>
      <c r="F17" s="7" t="n">
        <v>6</v>
      </c>
      <c r="G17" s="7">
        <f>COUNTIFS('V12 - Secure Communication'!$F$2:$F$16,"Compliant",'V12 - Secure Communication'!$E$2:$E$16,2)</f>
        <v/>
      </c>
      <c r="H17" s="8">
        <f>IF(F17=0,"",G17/F17)</f>
        <v/>
      </c>
      <c r="I17" s="7" t="n">
        <v>3</v>
      </c>
      <c r="J17" s="7">
        <f>COUNTIFS('V12 - Secure Communication'!$F$2:$F$16,"Compliant",'V12 - Secure Communication'!$E$2:$E$16,3)</f>
        <v/>
      </c>
      <c r="K17" s="8">
        <f>IF(I17=0,"",J17/I17)</f>
        <v/>
      </c>
      <c r="L17" s="7">
        <f>COUNTIF('V12 - Secure Communication'!$F$2:$F$16,"Compliant")</f>
        <v/>
      </c>
      <c r="M17" s="8">
        <f>IF(B17=0,"",L17/B17)</f>
        <v/>
      </c>
    </row>
    <row r="18" ht="18" customHeight="1" s="26">
      <c r="A18" s="3" t="inlineStr">
        <is>
          <t>V13 – Configuration</t>
        </is>
      </c>
      <c r="B18" s="4" t="n">
        <v>21</v>
      </c>
      <c r="C18" s="4" t="n">
        <v>1</v>
      </c>
      <c r="D18" s="4">
        <f>COUNTIFS('V13 - Configuration'!$F$2:$F$26,"Compliant",'V13 - Configuration'!$E$2:$E$26,1)</f>
        <v/>
      </c>
      <c r="E18" s="5">
        <f>IF(C18=0,"",D18/C18)</f>
        <v/>
      </c>
      <c r="F18" s="4" t="n">
        <v>12</v>
      </c>
      <c r="G18" s="4">
        <f>COUNTIFS('V13 - Configuration'!$F$2:$F$26,"Compliant",'V13 - Configuration'!$E$2:$E$26,2)</f>
        <v/>
      </c>
      <c r="H18" s="5">
        <f>IF(F18=0,"",G18/F18)</f>
        <v/>
      </c>
      <c r="I18" s="4" t="n">
        <v>8</v>
      </c>
      <c r="J18" s="4">
        <f>COUNTIFS('V13 - Configuration'!$F$2:$F$26,"Compliant",'V13 - Configuration'!$E$2:$E$26,3)</f>
        <v/>
      </c>
      <c r="K18" s="5">
        <f>IF(I18=0,"",J18/I18)</f>
        <v/>
      </c>
      <c r="L18" s="4">
        <f>COUNTIF('V13 - Configuration'!$F$2:$F$26,"Compliant")</f>
        <v/>
      </c>
      <c r="M18" s="5">
        <f>IF(B18=0,"",L18/B18)</f>
        <v/>
      </c>
    </row>
    <row r="19" ht="18" customHeight="1" s="26">
      <c r="A19" s="6" t="inlineStr">
        <is>
          <t>V14 – Data Protection</t>
        </is>
      </c>
      <c r="B19" s="7" t="n">
        <v>13</v>
      </c>
      <c r="C19" s="7" t="n">
        <v>2</v>
      </c>
      <c r="D19" s="7">
        <f>COUNTIFS('V14 - Data Protection'!$F$2:$F$17,"Compliant",'V14 - Data Protection'!$E$2:$E$17,1)</f>
        <v/>
      </c>
      <c r="E19" s="8">
        <f>IF(C19=0,"",D19/C19)</f>
        <v/>
      </c>
      <c r="F19" s="7" t="n">
        <v>7</v>
      </c>
      <c r="G19" s="7">
        <f>COUNTIFS('V14 - Data Protection'!$F$2:$F$17,"Compliant",'V14 - Data Protection'!$E$2:$E$17,2)</f>
        <v/>
      </c>
      <c r="H19" s="8">
        <f>IF(F19=0,"",G19/F19)</f>
        <v/>
      </c>
      <c r="I19" s="7" t="n">
        <v>4</v>
      </c>
      <c r="J19" s="7">
        <f>COUNTIFS('V14 - Data Protection'!$F$2:$F$17,"Compliant",'V14 - Data Protection'!$E$2:$E$17,3)</f>
        <v/>
      </c>
      <c r="K19" s="8">
        <f>IF(I19=0,"",J19/I19)</f>
        <v/>
      </c>
      <c r="L19" s="7">
        <f>COUNTIF('V14 - Data Protection'!$F$2:$F$17,"Compliant")</f>
        <v/>
      </c>
      <c r="M19" s="8">
        <f>IF(B19=0,"",L19/B19)</f>
        <v/>
      </c>
    </row>
    <row r="20" ht="18" customHeight="1" s="26">
      <c r="A20" s="3" t="inlineStr">
        <is>
          <t>V15 – Secure Coding and Architecture</t>
        </is>
      </c>
      <c r="B20" s="4" t="n">
        <v>21</v>
      </c>
      <c r="C20" s="4" t="n">
        <v>3</v>
      </c>
      <c r="D20" s="4">
        <f>COUNTIFS('V15 - Secure Coding and Archite'!$F$2:$F$26,"Compliant",'V15 - Secure Coding and Archite'!$E$2:$E$26,1)</f>
        <v/>
      </c>
      <c r="E20" s="5">
        <f>IF(C20=0,"",D20/C20)</f>
        <v/>
      </c>
      <c r="F20" s="4" t="n">
        <v>10</v>
      </c>
      <c r="G20" s="4">
        <f>COUNTIFS('V15 - Secure Coding and Archite'!$F$2:$F$26,"Compliant",'V15 - Secure Coding and Archite'!$E$2:$E$26,2)</f>
        <v/>
      </c>
      <c r="H20" s="5">
        <f>IF(F20=0,"",G20/F20)</f>
        <v/>
      </c>
      <c r="I20" s="4" t="n">
        <v>8</v>
      </c>
      <c r="J20" s="4">
        <f>COUNTIFS('V15 - Secure Coding and Archite'!$F$2:$F$26,"Compliant",'V15 - Secure Coding and Archite'!$E$2:$E$26,3)</f>
        <v/>
      </c>
      <c r="K20" s="5">
        <f>IF(I20=0,"",J20/I20)</f>
        <v/>
      </c>
      <c r="L20" s="4">
        <f>COUNTIF('V15 - Secure Coding and Archite'!$F$2:$F$26,"Compliant")</f>
        <v/>
      </c>
      <c r="M20" s="5">
        <f>IF(B20=0,"",L20/B20)</f>
        <v/>
      </c>
    </row>
    <row r="21" ht="18" customHeight="1" s="26">
      <c r="A21" s="6" t="inlineStr">
        <is>
          <t>V16 – Security Logging and Error Handling</t>
        </is>
      </c>
      <c r="B21" s="7" t="n">
        <v>17</v>
      </c>
      <c r="C21" s="7" t="n">
        <v>0</v>
      </c>
      <c r="D21" s="7" t="inlineStr">
        <is>
          <t>N/A</t>
        </is>
      </c>
      <c r="E21" s="7" t="inlineStr">
        <is>
          <t>N/A</t>
        </is>
      </c>
      <c r="F21" s="7" t="n">
        <v>16</v>
      </c>
      <c r="G21" s="7">
        <f>COUNTIFS('V16 - Security Logging and Erro'!$F$2:$F$23,"Compliant",'V16 - Security Logging and Erro'!$E$2:$E$23,2)</f>
        <v/>
      </c>
      <c r="H21" s="8">
        <f>IF(F21=0,"",G21/F21)</f>
        <v/>
      </c>
      <c r="I21" s="7" t="n">
        <v>1</v>
      </c>
      <c r="J21" s="7">
        <f>COUNTIFS('V16 - Security Logging and Erro'!$F$2:$F$23,"Compliant",'V16 - Security Logging and Erro'!$E$2:$E$23,3)</f>
        <v/>
      </c>
      <c r="K21" s="8">
        <f>IF(I21=0,"",J21/I21)</f>
        <v/>
      </c>
      <c r="L21" s="7">
        <f>COUNTIF('V16 - Security Logging and Erro'!$F$2:$F$23,"Compliant")</f>
        <v/>
      </c>
      <c r="M21" s="8">
        <f>IF(B21=0,"",L21/B21)</f>
        <v/>
      </c>
    </row>
    <row r="22" ht="18" customHeight="1" s="26">
      <c r="A22" s="3" t="inlineStr">
        <is>
          <t>V17 – WebRTC</t>
        </is>
      </c>
      <c r="B22" s="4" t="n">
        <v>12</v>
      </c>
      <c r="C22" s="4" t="n">
        <v>0</v>
      </c>
      <c r="D22" s="4" t="inlineStr">
        <is>
          <t>N/A</t>
        </is>
      </c>
      <c r="E22" s="4" t="inlineStr">
        <is>
          <t>N/A</t>
        </is>
      </c>
      <c r="F22" s="4" t="n">
        <v>7</v>
      </c>
      <c r="G22" s="4">
        <f>COUNTIFS('V17 - WebRTC'!$F$2:$F$16,"Compliant",'V17 - WebRTC'!$E$2:$E$16,2)</f>
        <v/>
      </c>
      <c r="H22" s="5">
        <f>IF(F22=0,"",G22/F22)</f>
        <v/>
      </c>
      <c r="I22" s="4" t="n">
        <v>5</v>
      </c>
      <c r="J22" s="4">
        <f>COUNTIFS('V17 - WebRTC'!$F$2:$F$16,"Compliant",'V17 - WebRTC'!$E$2:$E$16,3)</f>
        <v/>
      </c>
      <c r="K22" s="5">
        <f>IF(I22=0,"",J22/I22)</f>
        <v/>
      </c>
      <c r="L22" s="4">
        <f>COUNTIF('V17 - WebRTC'!$F$2:$F$16,"Compliant")</f>
        <v/>
      </c>
      <c r="M22" s="5">
        <f>IF(B22=0,"",L22/B22)</f>
        <v/>
      </c>
    </row>
    <row r="23" ht="22.05" customHeight="1" s="26">
      <c r="A23" s="9" t="inlineStr">
        <is>
          <t>TOTAL</t>
        </is>
      </c>
      <c r="B23" s="10">
        <f>SUM(B6:B22)</f>
        <v/>
      </c>
      <c r="C23" s="10">
        <f>SUM(C6:C22)</f>
        <v/>
      </c>
      <c r="D23" s="10">
        <f>SUM(D6:D22)</f>
        <v/>
      </c>
      <c r="E23" s="11">
        <f>IFERROR(AVERAGE(E6:E22),"")</f>
        <v/>
      </c>
      <c r="F23" s="10">
        <f>SUM(F6:F22)</f>
        <v/>
      </c>
      <c r="G23" s="10">
        <f>SUM(G6:G22)</f>
        <v/>
      </c>
      <c r="H23" s="11">
        <f>IFERROR(AVERAGE(H6:H22),"")</f>
        <v/>
      </c>
      <c r="I23" s="10">
        <f>SUM(I6:I22)</f>
        <v/>
      </c>
      <c r="J23" s="10">
        <f>SUM(J6:J22)</f>
        <v/>
      </c>
      <c r="K23" s="11">
        <f>IFERROR(AVERAGE(K6:K22),"")</f>
        <v/>
      </c>
      <c r="L23" s="10">
        <f>SUM(L6:L22)</f>
        <v/>
      </c>
      <c r="M23" s="11">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5" footer="0.511805555555555"/>
  <pageSetup orientation="portrait" firstPageNumber="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4" customWidth="1" style="26" min="1" max="1"/>
    <col width="76" customWidth="1" style="26" min="2" max="2"/>
    <col width="64" customWidth="1" style="26" min="3" max="3"/>
    <col width="56" customWidth="1" style="26" min="4" max="4"/>
  </cols>
  <sheetData>
    <row r="1">
      <c r="A1" s="29" t="inlineStr">
        <is>
          <t>ASVS Tracker DX Guide</t>
        </is>
      </c>
      <c r="B1" s="30" t="inlineStr"/>
      <c r="C1" s="30" t="inlineStr"/>
      <c r="D1" s="30" t="inlineStr"/>
    </row>
    <row r="2">
      <c r="A2" s="30" t="inlineStr">
        <is>
          <t>What is automated?</t>
        </is>
      </c>
      <c r="B2" s="30" t="inlineStr">
        <is>
          <t>make asvs-tracker runs evidence tests, copies the source workbook, scans repository evidence, infers each ASVS row, and writes this filled workbook.</t>
        </is>
      </c>
      <c r="C2" s="30" t="inlineStr"/>
      <c r="D2" s="30" t="inlineStr"/>
    </row>
    <row r="3">
      <c r="A3" s="30" t="inlineStr">
        <is>
          <t>Input source</t>
        </is>
      </c>
      <c r="B3" s="30" t="inlineStr">
        <is>
          <t>The Excel template is the source of ASVS rows. The markdown tracker is not read or required.</t>
        </is>
      </c>
      <c r="C3" s="30" t="inlineStr"/>
      <c r="D3" s="30" t="inlineStr"/>
    </row>
    <row r="4">
      <c r="A4" s="30" t="inlineStr">
        <is>
          <t>Important limitation</t>
        </is>
      </c>
      <c r="B4" s="30" t="inlineStr">
        <is>
          <t>The automation is deterministic: it can infer from tests, source, configuration, and build artifacts, but a new control may need a new targeted test/evidence rule before it becomes Compliant.</t>
        </is>
      </c>
      <c r="C4" s="30" t="inlineStr"/>
      <c r="D4" s="30" t="inlineStr"/>
    </row>
    <row r="5">
      <c r="A5" s="30" t="inlineStr"/>
      <c r="B5" s="30" t="inlineStr"/>
      <c r="C5" s="30" t="inlineStr"/>
      <c r="D5" s="30" t="inlineStr"/>
    </row>
    <row r="6">
      <c r="A6" s="31" t="inlineStr">
        <is>
          <t>Status</t>
        </is>
      </c>
      <c r="B6" s="31" t="inlineStr">
        <is>
          <t>Meaning</t>
        </is>
      </c>
      <c r="C6" s="31" t="inlineStr">
        <is>
          <t>When generated</t>
        </is>
      </c>
      <c r="D6" s="31" t="inlineStr">
        <is>
          <t>Next action</t>
        </is>
      </c>
    </row>
    <row r="7">
      <c r="A7" s="30" t="inlineStr">
        <is>
          <t>Compliant</t>
        </is>
      </c>
      <c r="B7" s="30" t="inlineStr">
        <is>
          <t>The row has matching implementation/configuration/build evidence and the evidence test run passed.</t>
        </is>
      </c>
      <c r="C7" s="30" t="inlineStr">
        <is>
          <t>Generated when direct automated evidence or source evidence matches the ASVS row.</t>
        </is>
      </c>
      <c r="D7" s="30" t="inlineStr">
        <is>
          <t>Keep make asvs-tracker passing and update tests when scope changes.</t>
        </is>
      </c>
    </row>
    <row r="8">
      <c r="A8" s="30" t="inlineStr">
        <is>
          <t>Planned</t>
        </is>
      </c>
      <c r="B8" s="30" t="inlineStr">
        <is>
          <t>The row is relevant but not yet strongly proven by repository evidence.</t>
        </is>
      </c>
      <c r="C8" s="30" t="inlineStr">
        <is>
          <t>Generated when the row has no direct matching evidence or only weak/reference evidence.</t>
        </is>
      </c>
      <c r="D8" s="30" t="inlineStr">
        <is>
          <t>Implement the control or add a targeted test/evidence rule.</t>
        </is>
      </c>
    </row>
    <row r="9">
      <c r="A9" s="30" t="inlineStr">
        <is>
          <t>N/A</t>
        </is>
      </c>
      <c r="B9" s="30" t="inlineStr">
        <is>
          <t>The row is outside the current backend/API scope.</t>
        </is>
      </c>
      <c r="C9" s="30" t="inlineStr">
        <is>
          <t>Generated for absent technologies such as frontend DOM, OAuth/OIDC, GraphQL, XML/SOAP, WebRTC, or file upload surfaces.</t>
        </is>
      </c>
      <c r="D9" s="30" t="inlineStr">
        <is>
          <t>Revisit if that technology enters scope.</t>
        </is>
      </c>
    </row>
    <row r="10">
      <c r="A10" s="30" t="inlineStr"/>
      <c r="B10" s="30" t="inlineStr"/>
      <c r="C10" s="30" t="inlineStr"/>
      <c r="D10" s="30" t="inlineStr"/>
    </row>
    <row r="11">
      <c r="A11" s="31" t="inlineStr">
        <is>
          <t>DX column</t>
        </is>
      </c>
      <c r="B11" s="31" t="inlineStr">
        <is>
          <t>Purpose</t>
        </is>
      </c>
      <c r="C11" s="31" t="inlineStr">
        <is>
          <t>Example</t>
        </is>
      </c>
      <c r="D11" s="31" t="inlineStr"/>
    </row>
    <row r="12">
      <c r="A12" s="30" t="inlineStr">
        <is>
          <t>DX Status Meaning</t>
        </is>
      </c>
      <c r="B12" s="30" t="inlineStr">
        <is>
          <t>Plain-language explanation of the generated status.</t>
        </is>
      </c>
      <c r="C12" s="30" t="inlineStr">
        <is>
          <t>Compliant means repository evidence matched and tests passed.</t>
        </is>
      </c>
      <c r="D12" s="30" t="inlineStr"/>
    </row>
    <row r="13">
      <c r="A13" s="30" t="inlineStr">
        <is>
          <t>Evidence Type</t>
        </is>
      </c>
      <c r="B13" s="30" t="inlineStr">
        <is>
          <t>Shows whether support is automated, referenced, scope-based, or missing.</t>
        </is>
      </c>
      <c r="C13" s="30" t="inlineStr">
        <is>
          <t>Automated repository evidence</t>
        </is>
      </c>
      <c r="D13" s="30" t="inlineStr"/>
    </row>
    <row r="14">
      <c r="A14" s="30" t="inlineStr">
        <is>
          <t>Automated Evidence</t>
        </is>
      </c>
      <c r="B14" s="30" t="inlineStr">
        <is>
          <t>Mapped tests, code features, or build artifacts supporting the row.</t>
        </is>
      </c>
      <c r="C14" s="30" t="inlineStr">
        <is>
          <t>RbacIntegrationTest; Spring method security and RBAC annotations detected</t>
        </is>
      </c>
      <c r="D14" s="30" t="inlineStr"/>
    </row>
    <row r="15">
      <c r="A15" s="30" t="inlineStr">
        <is>
          <t>Evidence Source</t>
        </is>
      </c>
      <c r="B15" s="30" t="inlineStr">
        <is>
          <t>The security topic inferred from ASVS text and SR/AC references.</t>
        </is>
      </c>
      <c r="C15" s="30" t="inlineStr">
        <is>
          <t>RBAC roles and endpoint isolation</t>
        </is>
      </c>
      <c r="D15" s="30" t="inlineStr"/>
    </row>
    <row r="16">
      <c r="A16" s="30" t="inlineStr">
        <is>
          <t>Next Action</t>
        </is>
      </c>
      <c r="B16" s="30" t="inlineStr">
        <is>
          <t>What to do to move the row forward.</t>
        </is>
      </c>
      <c r="C16" s="30" t="inlineStr">
        <is>
          <t>Add implementation/tests that directly prove this ASVS row.</t>
        </is>
      </c>
      <c r="D16" s="30" t="inlineStr"/>
    </row>
    <row r="17">
      <c r="A17" s="30" t="inlineStr"/>
      <c r="B17" s="30" t="inlineStr"/>
      <c r="C17" s="30" t="inlineStr"/>
      <c r="D17" s="30" t="inlineStr"/>
    </row>
    <row r="18">
      <c r="A18" s="30" t="inlineStr">
        <is>
          <t>Recommended commands</t>
        </is>
      </c>
      <c r="B18" s="30" t="inlineStr">
        <is>
          <t>make asvs-tracker</t>
        </is>
      </c>
      <c r="C18" s="30" t="inlineStr">
        <is>
          <t>Runs tests and regenerates the filled Excel.</t>
        </is>
      </c>
      <c r="D18" s="30" t="inlineStr"/>
    </row>
    <row r="19">
      <c r="A19" s="30" t="inlineStr">
        <is>
          <t>Recommended commands</t>
        </is>
      </c>
      <c r="B19" s="30" t="inlineStr">
        <is>
          <t>make asvs-fill</t>
        </is>
      </c>
      <c r="C19" s="30" t="inlineStr">
        <is>
          <t>Regenerates Excel from existing reports without rerunning tests.</t>
        </is>
      </c>
      <c r="D19" s="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zoomScale="75" zoomScaleNormal="75" workbookViewId="0">
      <pane ySplit="1" topLeftCell="A2" activePane="bottomLeft" state="frozen"/>
      <selection pane="bottomLeft" activeCell="J8" sqref="J8"/>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V1.1</t>
        </is>
      </c>
      <c r="B2" s="33" t="inlineStr">
        <is>
          <t>Encoding and Sanitization Architecture</t>
        </is>
      </c>
      <c r="C2" s="33" t="n"/>
      <c r="D2" s="33" t="n"/>
      <c r="E2" s="33" t="n"/>
      <c r="F2" s="33" t="n"/>
      <c r="G2" s="33" t="n"/>
      <c r="H2" s="33" t="n"/>
      <c r="I2" s="30" t="n"/>
      <c r="J2" s="30" t="n"/>
      <c r="K2" s="30" t="n"/>
      <c r="L2" s="30" t="n"/>
      <c r="M2" s="30" t="n"/>
    </row>
    <row r="3" ht="30" customHeight="1" s="26">
      <c r="A3" s="34" t="inlineStr">
        <is>
          <t>V1.1</t>
        </is>
      </c>
      <c r="B3" s="34" t="inlineStr">
        <is>
          <t>Encoding and Sanitization Architecture</t>
        </is>
      </c>
      <c r="C3" s="34" t="inlineStr">
        <is>
          <t>V1.1.1</t>
        </is>
      </c>
      <c r="D3" s="34"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35" t="n">
        <v>2</v>
      </c>
      <c r="F3" s="36" t="inlineStr">
        <is>
          <t>Compliant</t>
        </is>
      </c>
      <c r="G3" s="34" t="inlineStr">
        <is>
          <t>Automatically marked compliant from passing evidence: server-side price enforcement; stock limit validation; input shape/range validation; unknown-field rejection; payload/request limit coverage.</t>
        </is>
      </c>
      <c r="H3" s="34" t="inlineStr">
        <is>
          <t>SR-24; SR-25; SR-28; SR-29; SR-30; SaleServiceTest; AbuseCaseRegressionTest; SlotServiceTest; ControllerIntegrationTests; SystemFunctionalTests; ControllerUnitTests; GlobalExceptionHandlerTest; application.properties; Bean Validation and request-shape controls detected</t>
        </is>
      </c>
      <c r="I3" s="30" t="inlineStr">
        <is>
          <t>Automatically inferred as implemented or justified from passing tests, source code, configuration, or build artifacts.</t>
        </is>
      </c>
      <c r="J3" s="30" t="inlineStr">
        <is>
          <t>Automated repository evidence</t>
        </is>
      </c>
      <c r="K3" s="30" t="inlineStr">
        <is>
          <t>SaleServiceTest; AbuseCaseRegressionTest; SlotServiceTest; ControllerIntegrationTests; SystemFunctionalTests; ControllerUnitTests; GlobalExceptionHandlerTest; application.properties; Bean Validation and request-shape controls detected</t>
        </is>
      </c>
      <c r="L3" s="30" t="inlineStr">
        <is>
          <t>server-side price enforcement; stock limit validation; input shape/range validation; unknown-field rejection; payload/request limit coverage</t>
        </is>
      </c>
      <c r="M3" s="30" t="inlineStr">
        <is>
          <t>Keep make asvs-tracker passing; reassess if code, tests, or scope changes.</t>
        </is>
      </c>
    </row>
    <row r="4" ht="30" customHeight="1" s="26">
      <c r="A4" s="37" t="inlineStr">
        <is>
          <t>V1.1</t>
        </is>
      </c>
      <c r="B4" s="37" t="inlineStr">
        <is>
          <t>Encoding and Sanitization Architecture</t>
        </is>
      </c>
      <c r="C4" s="37" t="inlineStr">
        <is>
          <t>V1.1.2</t>
        </is>
      </c>
      <c r="D4" s="37" t="inlineStr">
        <is>
          <t>Verify that the application performs output encoding and escaping either as a final step before being used by the interpreter for which it is intended or by the interpreter itself.</t>
        </is>
      </c>
      <c r="E4" s="35" t="n">
        <v>2</v>
      </c>
      <c r="F4" s="36" t="inlineStr">
        <is>
          <t>Compliant</t>
        </is>
      </c>
      <c r="G4" s="37" t="inlineStr">
        <is>
          <t>Automatically marked compliant from passing evidence: DTO response boundaries and unknown-field rejection.</t>
        </is>
      </c>
      <c r="H4" s="37" t="inlineStr">
        <is>
          <t>SR-16; ControllerUnitTests; GlobalExceptionHandlerTest</t>
        </is>
      </c>
      <c r="I4" s="30" t="inlineStr">
        <is>
          <t>Automatically inferred as implemented or justified from passing tests, source code, configuration, or build artifacts.</t>
        </is>
      </c>
      <c r="J4" s="30" t="inlineStr">
        <is>
          <t>Automated repository evidence</t>
        </is>
      </c>
      <c r="K4" s="30" t="inlineStr">
        <is>
          <t>ControllerUnitTests; GlobalExceptionHandlerTest</t>
        </is>
      </c>
      <c r="L4" s="30" t="inlineStr">
        <is>
          <t>DTO response boundaries and unknown-field rejection</t>
        </is>
      </c>
      <c r="M4" s="30" t="inlineStr">
        <is>
          <t>Keep make asvs-tracker passing; reassess if code, tests, or scope changes.</t>
        </is>
      </c>
    </row>
    <row r="5" ht="18" customHeight="1" s="26">
      <c r="A5" s="33" t="inlineStr">
        <is>
          <t>V1.2</t>
        </is>
      </c>
      <c r="B5" s="33" t="inlineStr">
        <is>
          <t>Injection Prevention</t>
        </is>
      </c>
      <c r="C5" s="33" t="n"/>
      <c r="D5" s="33" t="n"/>
      <c r="E5" s="33" t="n"/>
      <c r="F5" s="33" t="n"/>
      <c r="G5" s="33" t="n"/>
      <c r="H5" s="33" t="n"/>
      <c r="I5" s="30" t="n"/>
      <c r="J5" s="30" t="n"/>
      <c r="K5" s="30" t="n"/>
      <c r="L5" s="30" t="n"/>
      <c r="M5" s="30" t="n"/>
    </row>
    <row r="6" ht="30" customHeight="1" s="26">
      <c r="A6" s="34" t="inlineStr">
        <is>
          <t>V1.2</t>
        </is>
      </c>
      <c r="B6" s="34" t="inlineStr">
        <is>
          <t>Injection Prevention</t>
        </is>
      </c>
      <c r="C6" s="34" t="inlineStr">
        <is>
          <t>V1.2.1</t>
        </is>
      </c>
      <c r="D6" s="34"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38" t="n">
        <v>1</v>
      </c>
      <c r="F6" s="39" t="inlineStr">
        <is>
          <t>N/A</t>
        </is>
      </c>
      <c r="G6" s="34" t="inlineStr">
        <is>
          <t>Automatically marked out of scope: No browser-rendered frontend surface is present in this repository.</t>
        </is>
      </c>
      <c r="H6" s="34" t="inlineStr">
        <is>
          <t>Automated scope inference</t>
        </is>
      </c>
      <c r="I6" s="30" t="inlineStr">
        <is>
          <t>Out of scope for VendNet as currently implemented, or the requirement does not apply to this REST API/backend.</t>
        </is>
      </c>
      <c r="J6" s="30" t="inlineStr">
        <is>
          <t>Scope inference</t>
        </is>
      </c>
      <c r="K6" s="30" t="inlineStr">
        <is>
          <t>Not required for current backend scope.</t>
        </is>
      </c>
      <c r="L6" s="30" t="inlineStr">
        <is>
          <t>No browser-rendered frontend surface is present in this repository.</t>
        </is>
      </c>
      <c r="M6" s="30" t="inlineStr">
        <is>
          <t>Revisit if the application scope changes.</t>
        </is>
      </c>
    </row>
    <row r="7" ht="30" customHeight="1" s="26">
      <c r="A7" s="37" t="inlineStr">
        <is>
          <t>V1.2</t>
        </is>
      </c>
      <c r="B7" s="37" t="inlineStr">
        <is>
          <t>Injection Prevention</t>
        </is>
      </c>
      <c r="C7" s="37" t="inlineStr">
        <is>
          <t>V1.2.2</t>
        </is>
      </c>
      <c r="D7" s="37" t="inlineStr">
        <is>
          <t>Verify that when dynamically building URLs, untrusted data is encoded according to its context (e.g., URL encoding or base64url encoding for query or path parameters). Ensure that only safe URL protocols are permitted (e.g., disallow javascript: or data:).</t>
        </is>
      </c>
      <c r="E7" s="38" t="n">
        <v>1</v>
      </c>
      <c r="F7" s="39" t="inlineStr">
        <is>
          <t>N/A</t>
        </is>
      </c>
      <c r="G7" s="37" t="inlineStr">
        <is>
          <t>Automatically marked out of scope: No browser-rendered frontend surface is present in this repository.</t>
        </is>
      </c>
      <c r="H7" s="37" t="inlineStr">
        <is>
          <t>Automated scope inference</t>
        </is>
      </c>
      <c r="I7" s="30" t="inlineStr">
        <is>
          <t>Out of scope for VendNet as currently implemented, or the requirement does not apply to this REST API/backend.</t>
        </is>
      </c>
      <c r="J7" s="30" t="inlineStr">
        <is>
          <t>Scope inference</t>
        </is>
      </c>
      <c r="K7" s="30" t="inlineStr">
        <is>
          <t>Not required for current backend scope.</t>
        </is>
      </c>
      <c r="L7" s="30" t="inlineStr">
        <is>
          <t>No browser-rendered frontend surface is present in this repository.</t>
        </is>
      </c>
      <c r="M7" s="30" t="inlineStr">
        <is>
          <t>Revisit if the application scope changes.</t>
        </is>
      </c>
    </row>
    <row r="8" ht="30" customHeight="1" s="26">
      <c r="A8" s="34" t="inlineStr">
        <is>
          <t>V1.2</t>
        </is>
      </c>
      <c r="B8" s="34" t="inlineStr">
        <is>
          <t>Injection Prevention</t>
        </is>
      </c>
      <c r="C8" s="34" t="inlineStr">
        <is>
          <t>V1.2.3</t>
        </is>
      </c>
      <c r="D8" s="34" t="inlineStr">
        <is>
          <t>Verify that output encoding or escaping is used when dynamically building JavaScript content (including JSON), to avoid changing the message or document structure (to avoid JavaScript and JSON injection).</t>
        </is>
      </c>
      <c r="E8" s="38" t="n">
        <v>1</v>
      </c>
      <c r="F8" s="39" t="inlineStr">
        <is>
          <t>N/A</t>
        </is>
      </c>
      <c r="G8" s="34" t="inlineStr">
        <is>
          <t>Automatically marked out of scope: No browser-rendered frontend surface is present in this repository.</t>
        </is>
      </c>
      <c r="H8" s="34" t="inlineStr">
        <is>
          <t>Automated scope inference</t>
        </is>
      </c>
      <c r="I8" s="30" t="inlineStr">
        <is>
          <t>Out of scope for VendNet as currently implemented, or the requirement does not apply to this REST API/backend.</t>
        </is>
      </c>
      <c r="J8" s="30" t="inlineStr">
        <is>
          <t>Scope inference</t>
        </is>
      </c>
      <c r="K8" s="30" t="inlineStr">
        <is>
          <t>Not required for current backend scope.</t>
        </is>
      </c>
      <c r="L8" s="30" t="inlineStr">
        <is>
          <t>No browser-rendered frontend surface is present in this repository.</t>
        </is>
      </c>
      <c r="M8" s="30" t="inlineStr">
        <is>
          <t>Revisit if the application scope changes.</t>
        </is>
      </c>
    </row>
    <row r="9" ht="30" customHeight="1" s="26">
      <c r="A9" s="37" t="inlineStr">
        <is>
          <t>V1.2</t>
        </is>
      </c>
      <c r="B9" s="37" t="inlineStr">
        <is>
          <t>Injection Prevention</t>
        </is>
      </c>
      <c r="C9" s="37" t="inlineStr">
        <is>
          <t>V1.2.4</t>
        </is>
      </c>
      <c r="D9" s="37"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38" t="n">
        <v>1</v>
      </c>
      <c r="F9" s="36" t="inlineStr">
        <is>
          <t>Compliant</t>
        </is>
      </c>
      <c r="G9" s="37" t="inlineStr">
        <is>
          <t>Automatically marked compliant from passing evidence: SQL injection regression and taint checks; SQL injection abuse-case regression.</t>
        </is>
      </c>
      <c r="H9" s="37" t="inlineStr">
        <is>
          <t>SR-09; AC-05; AbuseCaseRegressionTest; IastIntegrationTest</t>
        </is>
      </c>
      <c r="I9" s="30" t="inlineStr">
        <is>
          <t>Automatically inferred as implemented or justified from passing tests, source code, configuration, or build artifacts.</t>
        </is>
      </c>
      <c r="J9" s="30" t="inlineStr">
        <is>
          <t>Automated repository evidence</t>
        </is>
      </c>
      <c r="K9" s="30" t="inlineStr">
        <is>
          <t>AbuseCaseRegressionTest; IastIntegrationTest</t>
        </is>
      </c>
      <c r="L9" s="30" t="inlineStr">
        <is>
          <t>SQL injection regression and taint checks; SQL injection abuse-case regression</t>
        </is>
      </c>
      <c r="M9" s="30" t="inlineStr">
        <is>
          <t>Keep make asvs-tracker passing; reassess if code, tests, or scope changes.</t>
        </is>
      </c>
    </row>
    <row r="10" ht="30" customHeight="1" s="26">
      <c r="A10" s="34" t="inlineStr">
        <is>
          <t>V1.2</t>
        </is>
      </c>
      <c r="B10" s="34" t="inlineStr">
        <is>
          <t>Injection Prevention</t>
        </is>
      </c>
      <c r="C10" s="34" t="inlineStr">
        <is>
          <t>V1.2.5</t>
        </is>
      </c>
      <c r="D10" s="34" t="inlineStr">
        <is>
          <t>Verify that the application protects against OS command injection and that operating system calls use parameterized OS queries or use contextual command line output encoding.</t>
        </is>
      </c>
      <c r="E10" s="38" t="n">
        <v>1</v>
      </c>
      <c r="F10" s="36" t="inlineStr">
        <is>
          <t>Compliant</t>
        </is>
      </c>
      <c r="G10" s="34" t="inlineStr">
        <is>
          <t>Automatically marked compliant from passing evidence: SQL injection regression and taint checks; SQL injection abuse-case regression.</t>
        </is>
      </c>
      <c r="H10" s="34" t="inlineStr">
        <is>
          <t>SR-09; AC-05; AbuseCaseRegressionTest; IastIntegrationTest</t>
        </is>
      </c>
      <c r="I10" s="30" t="inlineStr">
        <is>
          <t>Automatically inferred as implemented or justified from passing tests, source code, configuration, or build artifacts.</t>
        </is>
      </c>
      <c r="J10" s="30" t="inlineStr">
        <is>
          <t>Automated repository evidence</t>
        </is>
      </c>
      <c r="K10" s="30" t="inlineStr">
        <is>
          <t>AbuseCaseRegressionTest; IastIntegrationTest</t>
        </is>
      </c>
      <c r="L10" s="30" t="inlineStr">
        <is>
          <t>SQL injection regression and taint checks; SQL injection abuse-case regression</t>
        </is>
      </c>
      <c r="M10" s="30" t="inlineStr">
        <is>
          <t>Keep make asvs-tracker passing; reassess if code, tests, or scope changes.</t>
        </is>
      </c>
    </row>
    <row r="11" ht="30" customHeight="1" s="26">
      <c r="A11" s="37" t="inlineStr">
        <is>
          <t>V1.2</t>
        </is>
      </c>
      <c r="B11" s="37" t="inlineStr">
        <is>
          <t>Injection Prevention</t>
        </is>
      </c>
      <c r="C11" s="37" t="inlineStr">
        <is>
          <t>V1.2.6</t>
        </is>
      </c>
      <c r="D11" s="37" t="inlineStr">
        <is>
          <t>Verify that the application protects against LDAP injection vulnerabilities, or that specific security controls to prevent LDAP injection have been implemented.</t>
        </is>
      </c>
      <c r="E11" s="35" t="n">
        <v>2</v>
      </c>
      <c r="F11" s="36" t="inlineStr">
        <is>
          <t>Compliant</t>
        </is>
      </c>
      <c r="G11" s="37" t="inlineStr">
        <is>
          <t>Automatically marked compliant from passing evidence: SQL injection regression and taint checks; SQL injection abuse-case regression.</t>
        </is>
      </c>
      <c r="H11" s="37" t="inlineStr">
        <is>
          <t>SR-09; AC-05; AbuseCaseRegressionTest; IastIntegrationTest</t>
        </is>
      </c>
      <c r="I11" s="30" t="inlineStr">
        <is>
          <t>Automatically inferred as implemented or justified from passing tests, source code, configuration, or build artifacts.</t>
        </is>
      </c>
      <c r="J11" s="30" t="inlineStr">
        <is>
          <t>Automated repository evidence</t>
        </is>
      </c>
      <c r="K11" s="30" t="inlineStr">
        <is>
          <t>AbuseCaseRegressionTest; IastIntegrationTest</t>
        </is>
      </c>
      <c r="L11" s="30" t="inlineStr">
        <is>
          <t>SQL injection regression and taint checks; SQL injection abuse-case regression</t>
        </is>
      </c>
      <c r="M11" s="30" t="inlineStr">
        <is>
          <t>Keep make asvs-tracker passing; reassess if code, tests, or scope changes.</t>
        </is>
      </c>
    </row>
    <row r="12" ht="30" customHeight="1" s="26">
      <c r="A12" s="34" t="inlineStr">
        <is>
          <t>V1.2</t>
        </is>
      </c>
      <c r="B12" s="34" t="inlineStr">
        <is>
          <t>Injection Prevention</t>
        </is>
      </c>
      <c r="C12" s="34" t="inlineStr">
        <is>
          <t>V1.2.7</t>
        </is>
      </c>
      <c r="D12" s="34" t="inlineStr">
        <is>
          <t>Verify that the application is protected against XPath injection attacks by using query parameterization or precompiled queries.</t>
        </is>
      </c>
      <c r="E12" s="35" t="n">
        <v>2</v>
      </c>
      <c r="F12" s="36" t="inlineStr">
        <is>
          <t>Compliant</t>
        </is>
      </c>
      <c r="G12" s="34" t="inlineStr">
        <is>
          <t>Automatically marked compliant from passing evidence: SQL injection regression and taint checks; SQL injection abuse-case regression; path traversal and report sandboxing; unsafe path/link handling; path traversal abuse-case regression.</t>
        </is>
      </c>
      <c r="H12" s="34" t="inlineStr">
        <is>
          <t>SR-09; AC-05; SR-26; SR-27; AC-06; AbuseCaseRegressionTest; IastIntegrationTest; PathValidatorImplTest; ReportDirectoryServiceImplTest; path validation and report sandbox code detected</t>
        </is>
      </c>
      <c r="I12" s="30" t="inlineStr">
        <is>
          <t>Automatically inferred as implemented or justified from passing tests, source code, configuration, or build artifacts.</t>
        </is>
      </c>
      <c r="J12" s="30" t="inlineStr">
        <is>
          <t>Automated repository evidence</t>
        </is>
      </c>
      <c r="K12" s="30" t="inlineStr">
        <is>
          <t>AbuseCaseRegressionTest; IastIntegrationTest; PathValidatorImplTest; ReportDirectoryServiceImplTest; path validation and report sandbox code detected</t>
        </is>
      </c>
      <c r="L12" s="30" t="inlineStr">
        <is>
          <t>SQL injection regression and taint checks; SQL injection abuse-case regression; path traversal and report sandboxing; unsafe path/link handling; path traversal abuse-case regression</t>
        </is>
      </c>
      <c r="M12" s="30" t="inlineStr">
        <is>
          <t>Keep make asvs-tracker passing; reassess if code, tests, or scope changes.</t>
        </is>
      </c>
    </row>
    <row r="13" ht="30" customHeight="1" s="26">
      <c r="A13" s="37" t="inlineStr">
        <is>
          <t>V1.2</t>
        </is>
      </c>
      <c r="B13" s="37" t="inlineStr">
        <is>
          <t>Injection Prevention</t>
        </is>
      </c>
      <c r="C13" s="37" t="inlineStr">
        <is>
          <t>V1.2.8</t>
        </is>
      </c>
      <c r="D13" s="37" t="inlineStr">
        <is>
          <t>Verify that LaTeX processors are configured securely (such as not using the "--shell-escape" flag) and an allowlist of commands is used to prevent LaTeX injection attacks.</t>
        </is>
      </c>
      <c r="E13" s="35" t="n">
        <v>2</v>
      </c>
      <c r="F13" s="36" t="inlineStr">
        <is>
          <t>Compliant</t>
        </is>
      </c>
      <c r="G13" s="37" t="inlineStr">
        <is>
          <t>Automatically marked compliant from passing evidence: SQL injection regression and taint checks; SQL injection abuse-case regression.</t>
        </is>
      </c>
      <c r="H13" s="37" t="inlineStr">
        <is>
          <t>SR-09; AC-05; AbuseCaseRegressionTest; IastIntegrationTest</t>
        </is>
      </c>
      <c r="I13" s="30" t="inlineStr">
        <is>
          <t>Automatically inferred as implemented or justified from passing tests, source code, configuration, or build artifacts.</t>
        </is>
      </c>
      <c r="J13" s="30" t="inlineStr">
        <is>
          <t>Automated repository evidence</t>
        </is>
      </c>
      <c r="K13" s="30" t="inlineStr">
        <is>
          <t>AbuseCaseRegressionTest; IastIntegrationTest</t>
        </is>
      </c>
      <c r="L13" s="30" t="inlineStr">
        <is>
          <t>SQL injection regression and taint checks; SQL injection abuse-case regression</t>
        </is>
      </c>
      <c r="M13" s="30" t="inlineStr">
        <is>
          <t>Keep make asvs-tracker passing; reassess if code, tests, or scope changes.</t>
        </is>
      </c>
    </row>
    <row r="14" ht="30" customHeight="1" s="26">
      <c r="A14" s="34" t="inlineStr">
        <is>
          <t>V1.2</t>
        </is>
      </c>
      <c r="B14" s="34" t="inlineStr">
        <is>
          <t>Injection Prevention</t>
        </is>
      </c>
      <c r="C14" s="34" t="inlineStr">
        <is>
          <t>V1.2.9</t>
        </is>
      </c>
      <c r="D14" s="34" t="inlineStr">
        <is>
          <t>Verify that the application escapes special characters in regular expressions (typically using a backslash) to prevent them from being misinterpreted as metacharacters.</t>
        </is>
      </c>
      <c r="E14" s="35" t="n">
        <v>2</v>
      </c>
      <c r="F14" s="36" t="inlineStr">
        <is>
          <t>Compliant</t>
        </is>
      </c>
      <c r="G14" s="34" t="inlineStr">
        <is>
          <t>Automatically marked compliant from passing evidence: path traversal and report sandboxing.</t>
        </is>
      </c>
      <c r="H14" s="34" t="inlineStr">
        <is>
          <t>SR-26; PathValidatorImplTest; ReportDirectoryServiceImplTest; AbuseCaseRegressionTest; path validation and report sandbox code detected</t>
        </is>
      </c>
      <c r="I14" s="30" t="inlineStr">
        <is>
          <t>Automatically inferred as implemented or justified from passing tests, source code, configuration, or build artifacts.</t>
        </is>
      </c>
      <c r="J14" s="30" t="inlineStr">
        <is>
          <t>Automated repository evidence</t>
        </is>
      </c>
      <c r="K14" s="30" t="inlineStr">
        <is>
          <t>PathValidatorImplTest; ReportDirectoryServiceImplTest; AbuseCaseRegressionTest; path validation and report sandbox code detected</t>
        </is>
      </c>
      <c r="L14" s="30" t="inlineStr">
        <is>
          <t>path traversal and report sandboxing</t>
        </is>
      </c>
      <c r="M14" s="30" t="inlineStr">
        <is>
          <t>Keep make asvs-tracker passing; reassess if code, tests, or scope changes.</t>
        </is>
      </c>
    </row>
    <row r="15" ht="30" customHeight="1" s="26">
      <c r="A15" s="37" t="inlineStr">
        <is>
          <t>V1.2</t>
        </is>
      </c>
      <c r="B15" s="37" t="inlineStr">
        <is>
          <t>Injection Prevention</t>
        </is>
      </c>
      <c r="C15" s="37" t="inlineStr">
        <is>
          <t>V1.2.10</t>
        </is>
      </c>
      <c r="D15" s="37"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40" t="n">
        <v>3</v>
      </c>
      <c r="F15" s="36" t="inlineStr">
        <is>
          <t>Compliant</t>
        </is>
      </c>
      <c r="G15" s="37" t="inlineStr">
        <is>
          <t>Automatically marked compliant from passing evidence: SQL injection regression and taint checks; SQL injection abuse-case regression.</t>
        </is>
      </c>
      <c r="H15" s="37" t="inlineStr">
        <is>
          <t>SR-09; AC-05; AbuseCaseRegressionTest; IastIntegrationTest</t>
        </is>
      </c>
      <c r="I15" s="30" t="inlineStr">
        <is>
          <t>Automatically inferred as implemented or justified from passing tests, source code, configuration, or build artifacts.</t>
        </is>
      </c>
      <c r="J15" s="30" t="inlineStr">
        <is>
          <t>Automated repository evidence</t>
        </is>
      </c>
      <c r="K15" s="30" t="inlineStr">
        <is>
          <t>AbuseCaseRegressionTest; IastIntegrationTest</t>
        </is>
      </c>
      <c r="L15" s="30" t="inlineStr">
        <is>
          <t>SQL injection regression and taint checks; SQL injection abuse-case regression</t>
        </is>
      </c>
      <c r="M15" s="30" t="inlineStr">
        <is>
          <t>Keep make asvs-tracker passing; reassess if code, tests, or scope changes.</t>
        </is>
      </c>
    </row>
    <row r="16" ht="18" customHeight="1" s="26">
      <c r="A16" s="33" t="inlineStr">
        <is>
          <t>V1.3</t>
        </is>
      </c>
      <c r="B16" s="33" t="inlineStr">
        <is>
          <t>Sanitization</t>
        </is>
      </c>
      <c r="C16" s="33" t="n"/>
      <c r="D16" s="33" t="n"/>
      <c r="E16" s="33" t="n"/>
      <c r="F16" s="33" t="n"/>
      <c r="G16" s="33" t="n"/>
      <c r="H16" s="33" t="n"/>
      <c r="I16" s="30" t="n"/>
      <c r="J16" s="30" t="n"/>
      <c r="K16" s="30" t="n"/>
      <c r="L16" s="30" t="n"/>
      <c r="M16" s="30" t="n"/>
    </row>
    <row r="17" ht="30" customHeight="1" s="26">
      <c r="A17" s="34" t="inlineStr">
        <is>
          <t>V1.3</t>
        </is>
      </c>
      <c r="B17" s="34" t="inlineStr">
        <is>
          <t>Sanitization</t>
        </is>
      </c>
      <c r="C17" s="34" t="inlineStr">
        <is>
          <t>V1.3.1</t>
        </is>
      </c>
      <c r="D17" s="34" t="inlineStr">
        <is>
          <t>Verify that all untrusted HTML input from WYSIWYG editors or similar is sanitized using a well-known and secure HTML sanitization library or framework feature.</t>
        </is>
      </c>
      <c r="E17" s="38" t="n">
        <v>1</v>
      </c>
      <c r="F17" s="39" t="inlineStr">
        <is>
          <t>N/A</t>
        </is>
      </c>
      <c r="G17" s="34" t="inlineStr">
        <is>
          <t>Automatically marked out of scope: No browser-rendered frontend surface is present in this repository.</t>
        </is>
      </c>
      <c r="H17" s="34" t="inlineStr">
        <is>
          <t>Automated scope inference</t>
        </is>
      </c>
      <c r="I17" s="30" t="inlineStr">
        <is>
          <t>Out of scope for VendNet as currently implemented, or the requirement does not apply to this REST API/backend.</t>
        </is>
      </c>
      <c r="J17" s="30" t="inlineStr">
        <is>
          <t>Scope inference</t>
        </is>
      </c>
      <c r="K17" s="30" t="inlineStr">
        <is>
          <t>Not required for current backend scope.</t>
        </is>
      </c>
      <c r="L17" s="30" t="inlineStr">
        <is>
          <t>No browser-rendered frontend surface is present in this repository.</t>
        </is>
      </c>
      <c r="M17" s="30" t="inlineStr">
        <is>
          <t>Revisit if the application scope changes.</t>
        </is>
      </c>
    </row>
    <row r="18" ht="30" customHeight="1" s="26">
      <c r="A18" s="37" t="inlineStr">
        <is>
          <t>V1.3</t>
        </is>
      </c>
      <c r="B18" s="37" t="inlineStr">
        <is>
          <t>Sanitization</t>
        </is>
      </c>
      <c r="C18" s="37" t="inlineStr">
        <is>
          <t>V1.3.2</t>
        </is>
      </c>
      <c r="D18" s="37" t="inlineStr">
        <is>
          <t>Verify that the application avoids the use of eval() or other dynamic code execution features such as Spring Expression Language (SpEL). Where there is no alternative, any user input being included must be sanitized before being executed.</t>
        </is>
      </c>
      <c r="E18" s="38" t="n">
        <v>1</v>
      </c>
      <c r="F18" s="36" t="inlineStr">
        <is>
          <t>Compliant</t>
        </is>
      </c>
      <c r="G18" s="37" t="inlineStr">
        <is>
          <t>Automatically marked compliant from passing evidence: input shape/range validation; unknown-field rejection; payload/request limit coverage.</t>
        </is>
      </c>
      <c r="H18" s="37" t="inlineStr">
        <is>
          <t>SR-28; SR-29; SR-30; ControllerIntegrationTests; SystemFunctionalTests; ControllerUnitTests; GlobalExceptionHandlerTest; application.properties; Bean Validation and request-shape controls detected</t>
        </is>
      </c>
      <c r="I18" s="30" t="inlineStr">
        <is>
          <t>Automatically inferred as implemented or justified from passing tests, source code, configuration, or build artifacts.</t>
        </is>
      </c>
      <c r="J18" s="30" t="inlineStr">
        <is>
          <t>Automated repository evidence</t>
        </is>
      </c>
      <c r="K18" s="30" t="inlineStr">
        <is>
          <t>ControllerIntegrationTests; SystemFunctionalTests; ControllerUnitTests; GlobalExceptionHandlerTest; application.properties; Bean Validation and request-shape controls detected</t>
        </is>
      </c>
      <c r="L18" s="30" t="inlineStr">
        <is>
          <t>input shape/range validation; unknown-field rejection; payload/request limit coverage</t>
        </is>
      </c>
      <c r="M18" s="30" t="inlineStr">
        <is>
          <t>Keep make asvs-tracker passing; reassess if code, tests, or scope changes.</t>
        </is>
      </c>
    </row>
    <row r="19" ht="30" customHeight="1" s="26">
      <c r="A19" s="34" t="inlineStr">
        <is>
          <t>V1.3</t>
        </is>
      </c>
      <c r="B19" s="34" t="inlineStr">
        <is>
          <t>Sanitization</t>
        </is>
      </c>
      <c r="C19" s="34" t="inlineStr">
        <is>
          <t>V1.3.3</t>
        </is>
      </c>
      <c r="D19" s="34" t="inlineStr">
        <is>
          <t>Verify that data being passed to a potentially dangerous context is sanitized beforehand to enforce safety measures, such as only allowing characters which are safe for this context and trimming input which is too long.</t>
        </is>
      </c>
      <c r="E19" s="35" t="n">
        <v>2</v>
      </c>
      <c r="F19" s="36" t="inlineStr">
        <is>
          <t>Compliant</t>
        </is>
      </c>
      <c r="G19" s="34" t="inlineStr">
        <is>
          <t>Automatically marked compliant from passing evidence: input shape/range validation; payload/request limit coverage; unknown-field rejection.</t>
        </is>
      </c>
      <c r="H19" s="34" t="inlineStr">
        <is>
          <t>SR-28; SR-30; SR-29; ControllerIntegrationTests; SystemFunctionalTests; application.properties; ControllerUnitTests; GlobalExceptionHandlerTest; Bean Validation and request-shape controls detected</t>
        </is>
      </c>
      <c r="I19" s="30" t="inlineStr">
        <is>
          <t>Automatically inferred as implemented or justified from passing tests, source code, configuration, or build artifacts.</t>
        </is>
      </c>
      <c r="J19" s="30" t="inlineStr">
        <is>
          <t>Automated repository evidence</t>
        </is>
      </c>
      <c r="K19" s="30" t="inlineStr">
        <is>
          <t>ControllerIntegrationTests; SystemFunctionalTests; application.properties; ControllerUnitTests; GlobalExceptionHandlerTest; Bean Validation and request-shape controls detected</t>
        </is>
      </c>
      <c r="L19" s="30" t="inlineStr">
        <is>
          <t>input shape/range validation; payload/request limit coverage; unknown-field rejection</t>
        </is>
      </c>
      <c r="M19" s="30" t="inlineStr">
        <is>
          <t>Keep make asvs-tracker passing; reassess if code, tests, or scope changes.</t>
        </is>
      </c>
    </row>
    <row r="20" ht="30" customHeight="1" s="26">
      <c r="A20" s="37" t="inlineStr">
        <is>
          <t>V1.3</t>
        </is>
      </c>
      <c r="B20" s="37" t="inlineStr">
        <is>
          <t>Sanitization</t>
        </is>
      </c>
      <c r="C20" s="37" t="inlineStr">
        <is>
          <t>V1.3.4</t>
        </is>
      </c>
      <c r="D20" s="37" t="inlineStr">
        <is>
          <t>Verify that user-supplied Scalable Vector Graphics (SVG) scriptable content is validated or sanitized to contain only tags and attributes (such as draw graphics) that are safe for the application, e.g., do not contain scripts and foreignObject.</t>
        </is>
      </c>
      <c r="E20" s="35" t="n">
        <v>2</v>
      </c>
      <c r="F20" s="41" t="inlineStr">
        <is>
          <t>Planned</t>
        </is>
      </c>
      <c r="G20" s="37" t="inlineStr">
        <is>
          <t>Automatically marked planned because no direct implementation, test, or scope exemption matched this ASVS row.</t>
        </is>
      </c>
      <c r="H20" s="37" t="inlineStr">
        <is>
          <t>Automated inference found no strong repository evidence</t>
        </is>
      </c>
      <c r="I20" s="30" t="inlineStr">
        <is>
          <t>Automatically inferred as required or potentially relevant, but not yet proven by strong repository evidence.</t>
        </is>
      </c>
      <c r="J20" s="30" t="inlineStr">
        <is>
          <t>Evidence needed</t>
        </is>
      </c>
      <c r="K20" s="30" t="inlineStr">
        <is>
          <t>No direct automated evidence matched this ASVS row.</t>
        </is>
      </c>
      <c r="L20" s="30" t="inlineStr">
        <is>
          <t>ASVS row V1.3.4; level 2</t>
        </is>
      </c>
      <c r="M20" s="30" t="inlineStr">
        <is>
          <t>Implement the control or add a targeted test/evidence rule, then rerun make asvs-tracker.</t>
        </is>
      </c>
    </row>
    <row r="21" ht="30" customHeight="1" s="26">
      <c r="A21" s="34" t="inlineStr">
        <is>
          <t>V1.3</t>
        </is>
      </c>
      <c r="B21" s="34" t="inlineStr">
        <is>
          <t>Sanitization</t>
        </is>
      </c>
      <c r="C21" s="34" t="inlineStr">
        <is>
          <t>V1.3.5</t>
        </is>
      </c>
      <c r="D21" s="34" t="inlineStr">
        <is>
          <t>Verify that the application sanitizes or disables user-supplied scriptable or expression template language content, such as Markdown, CSS or XSL stylesheets, BBCode, or similar.</t>
        </is>
      </c>
      <c r="E21" s="35" t="n">
        <v>2</v>
      </c>
      <c r="F21" s="39" t="inlineStr">
        <is>
          <t>N/A</t>
        </is>
      </c>
      <c r="G21" s="34" t="inlineStr">
        <is>
          <t>Automatically marked out of scope: No browser-rendered frontend surface is present in this repository.</t>
        </is>
      </c>
      <c r="H21" s="34" t="inlineStr">
        <is>
          <t>Automated scope inference</t>
        </is>
      </c>
      <c r="I21" s="30" t="inlineStr">
        <is>
          <t>Out of scope for VendNet as currently implemented, or the requirement does not apply to this REST API/backend.</t>
        </is>
      </c>
      <c r="J21" s="30" t="inlineStr">
        <is>
          <t>Scope inference</t>
        </is>
      </c>
      <c r="K21" s="30" t="inlineStr">
        <is>
          <t>Not required for current backend scope.</t>
        </is>
      </c>
      <c r="L21" s="30" t="inlineStr">
        <is>
          <t>No browser-rendered frontend surface is present in this repository.</t>
        </is>
      </c>
      <c r="M21" s="30" t="inlineStr">
        <is>
          <t>Revisit if the application scope changes.</t>
        </is>
      </c>
    </row>
    <row r="22" ht="30" customHeight="1" s="26">
      <c r="A22" s="37" t="inlineStr">
        <is>
          <t>V1.3</t>
        </is>
      </c>
      <c r="B22" s="37" t="inlineStr">
        <is>
          <t>Sanitization</t>
        </is>
      </c>
      <c r="C22" s="37" t="inlineStr">
        <is>
          <t>V1.3.6</t>
        </is>
      </c>
      <c r="D22" s="37"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35" t="n">
        <v>2</v>
      </c>
      <c r="F22" s="39" t="inlineStr">
        <is>
          <t>N/A</t>
        </is>
      </c>
      <c r="G22" s="37" t="inlineStr">
        <is>
          <t>Automatically marked out of scope: No browser-rendered frontend surface is present in this repository.</t>
        </is>
      </c>
      <c r="H22" s="37" t="inlineStr">
        <is>
          <t>Automated scope inference</t>
        </is>
      </c>
      <c r="I22" s="30" t="inlineStr">
        <is>
          <t>Out of scope for VendNet as currently implemented, or the requirement does not apply to this REST API/backend.</t>
        </is>
      </c>
      <c r="J22" s="30" t="inlineStr">
        <is>
          <t>Scope inference</t>
        </is>
      </c>
      <c r="K22" s="30" t="inlineStr">
        <is>
          <t>Not required for current backend scope.</t>
        </is>
      </c>
      <c r="L22" s="30" t="inlineStr">
        <is>
          <t>No browser-rendered frontend surface is present in this repository.</t>
        </is>
      </c>
      <c r="M22" s="30" t="inlineStr">
        <is>
          <t>Revisit if the application scope changes.</t>
        </is>
      </c>
    </row>
    <row r="23" ht="30" customHeight="1" s="26">
      <c r="A23" s="34" t="inlineStr">
        <is>
          <t>V1.3</t>
        </is>
      </c>
      <c r="B23" s="34" t="inlineStr">
        <is>
          <t>Sanitization</t>
        </is>
      </c>
      <c r="C23" s="34" t="inlineStr">
        <is>
          <t>V1.3.7</t>
        </is>
      </c>
      <c r="D23" s="34"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35" t="n">
        <v>2</v>
      </c>
      <c r="F23" s="36" t="inlineStr">
        <is>
          <t>Compliant</t>
        </is>
      </c>
      <c r="G23" s="34" t="inlineStr">
        <is>
          <t>Automatically marked compliant from passing evidence: input shape/range validation; unknown-field rejection; payload/request limit coverage; SQL injection regression and taint checks; SQL injection abuse-case regression.</t>
        </is>
      </c>
      <c r="H23" s="34" t="inlineStr">
        <is>
          <t>SR-28; SR-29; SR-30; SR-09; AC-05; ControllerIntegrationTests; SystemFunctionalTests; ControllerUnitTests; GlobalExceptionHandlerTest; application.properties; AbuseCaseRegressionTest; IastIntegrationTest; Bean Validation and request-shape controls detected</t>
        </is>
      </c>
      <c r="I23" s="30" t="inlineStr">
        <is>
          <t>Automatically inferred as implemented or justified from passing tests, source code, configuration, or build artifacts.</t>
        </is>
      </c>
      <c r="J23" s="30" t="inlineStr">
        <is>
          <t>Automated repository evidence</t>
        </is>
      </c>
      <c r="K23" s="30" t="inlineStr">
        <is>
          <t>ControllerIntegrationTests; SystemFunctionalTests; ControllerUnitTests; GlobalExceptionHandlerTest; application.properties; AbuseCaseRegressionTest; IastIntegrationTest; Bean Validation and request-shape controls detected</t>
        </is>
      </c>
      <c r="L23" s="30" t="inlineStr">
        <is>
          <t>input shape/range validation; unknown-field rejection; payload/request limit coverage; SQL injection regression and taint checks; SQL injection abuse-case regression</t>
        </is>
      </c>
      <c r="M23" s="30" t="inlineStr">
        <is>
          <t>Keep make asvs-tracker passing; reassess if code, tests, or scope changes.</t>
        </is>
      </c>
    </row>
    <row r="24" ht="30" customHeight="1" s="26">
      <c r="A24" s="37" t="inlineStr">
        <is>
          <t>V1.3</t>
        </is>
      </c>
      <c r="B24" s="37" t="inlineStr">
        <is>
          <t>Sanitization</t>
        </is>
      </c>
      <c r="C24" s="37" t="inlineStr">
        <is>
          <t>V1.3.8</t>
        </is>
      </c>
      <c r="D24" s="37" t="inlineStr">
        <is>
          <t>Verify that the application appropriately sanitizes untrusted input before use in Java Naming and Directory Interface (JNDI) queries and that JNDI is configured securely to prevent JNDI injection attacks.</t>
        </is>
      </c>
      <c r="E24" s="35" t="n">
        <v>2</v>
      </c>
      <c r="F24" s="36" t="inlineStr">
        <is>
          <t>Compliant</t>
        </is>
      </c>
      <c r="G24" s="37" t="inlineStr">
        <is>
          <t>Automatically marked compliant from passing evidence: input shape/range validation; unknown-field rejection; payload/request limit coverage; SQL injection regression and taint checks; SQL injection abuse-case regression; path traversal and report sandboxing; unsafe path/link handling; path traversal abuse-case regression.</t>
        </is>
      </c>
      <c r="H24" s="37" t="inlineStr">
        <is>
          <t>SR-28; SR-29; SR-30; SR-09; AC-05; SR-26; SR-27; AC-06; ControllerIntegrationTests; SystemFunctionalTests; ControllerUnitTests; GlobalExceptionHandlerTest; application.properties; AbuseCaseRegressionTest; IastIntegrationTest; PathValidatorImplTest; ReportDirectoryServiceImplTest; Bean Validation and request-shape controls detected; path validation and report sandbox code detected</t>
        </is>
      </c>
      <c r="I24" s="30" t="inlineStr">
        <is>
          <t>Automatically inferred as implemented or justified from passing tests, source code, configuration, or build artifacts.</t>
        </is>
      </c>
      <c r="J24" s="30" t="inlineStr">
        <is>
          <t>Automated repository evidence</t>
        </is>
      </c>
      <c r="K24" s="30" t="inlineStr">
        <is>
          <t>ControllerIntegrationTests; SystemFunctionalTests; ControllerUnitTests; GlobalExceptionHandlerTest; application.properties; AbuseCaseRegressionTest; IastIntegrationTest; PathValidatorImplTest; ReportDirectoryServiceImplTest; Bean Validation and request-shape controls detected; path validation and report sandbox code detected</t>
        </is>
      </c>
      <c r="L24" s="30" t="inlineStr">
        <is>
          <t>input shape/range validation; unknown-field rejection; payload/request limit coverage; SQL injection regression and taint checks; SQL injection abuse-case regression; path traversal and report sandboxing; unsafe path/link handling; path traversal abuse-case regression</t>
        </is>
      </c>
      <c r="M24" s="30" t="inlineStr">
        <is>
          <t>Keep make asvs-tracker passing; reassess if code, tests, or scope changes.</t>
        </is>
      </c>
    </row>
    <row r="25" ht="30" customHeight="1" s="26">
      <c r="A25" s="34" t="inlineStr">
        <is>
          <t>V1.3</t>
        </is>
      </c>
      <c r="B25" s="34" t="inlineStr">
        <is>
          <t>Sanitization</t>
        </is>
      </c>
      <c r="C25" s="34" t="inlineStr">
        <is>
          <t>V1.3.9</t>
        </is>
      </c>
      <c r="D25" s="34" t="inlineStr">
        <is>
          <t>Verify that the application sanitizes content before it is sent to memcache to prevent injection attacks.</t>
        </is>
      </c>
      <c r="E25" s="35" t="n">
        <v>2</v>
      </c>
      <c r="F25" s="36" t="inlineStr">
        <is>
          <t>Compliant</t>
        </is>
      </c>
      <c r="G25" s="34" t="inlineStr">
        <is>
          <t>Automatically marked compliant from passing evidence: SQL injection regression and taint checks; SQL injection abuse-case regression.</t>
        </is>
      </c>
      <c r="H25" s="34" t="inlineStr">
        <is>
          <t>SR-09; AC-05; AbuseCaseRegressionTest; IastIntegrationTest</t>
        </is>
      </c>
      <c r="I25" s="30" t="inlineStr">
        <is>
          <t>Automatically inferred as implemented or justified from passing tests, source code, configuration, or build artifacts.</t>
        </is>
      </c>
      <c r="J25" s="30" t="inlineStr">
        <is>
          <t>Automated repository evidence</t>
        </is>
      </c>
      <c r="K25" s="30" t="inlineStr">
        <is>
          <t>AbuseCaseRegressionTest; IastIntegrationTest</t>
        </is>
      </c>
      <c r="L25" s="30" t="inlineStr">
        <is>
          <t>SQL injection regression and taint checks; SQL injection abuse-case regression</t>
        </is>
      </c>
      <c r="M25" s="30" t="inlineStr">
        <is>
          <t>Keep make asvs-tracker passing; reassess if code, tests, or scope changes.</t>
        </is>
      </c>
    </row>
    <row r="26" ht="30" customHeight="1" s="26">
      <c r="A26" s="37" t="inlineStr">
        <is>
          <t>V1.3</t>
        </is>
      </c>
      <c r="B26" s="37" t="inlineStr">
        <is>
          <t>Sanitization</t>
        </is>
      </c>
      <c r="C26" s="37" t="inlineStr">
        <is>
          <t>V1.3.10</t>
        </is>
      </c>
      <c r="D26" s="37" t="inlineStr">
        <is>
          <t>Verify that format strings which might resolve in an unexpected or malicious way when used are sanitized before being processed.</t>
        </is>
      </c>
      <c r="E26" s="35" t="n">
        <v>2</v>
      </c>
      <c r="F26" s="39" t="inlineStr">
        <is>
          <t>N/A</t>
        </is>
      </c>
      <c r="G26" s="37" t="inlineStr">
        <is>
          <t>Automatically marked out of scope: No user-controlled printf-style format-string execution path is present in the Java REST backend.</t>
        </is>
      </c>
      <c r="H26" s="37" t="inlineStr">
        <is>
          <t>Automated scope inference</t>
        </is>
      </c>
      <c r="I26" s="30" t="inlineStr">
        <is>
          <t>Out of scope for VendNet as currently implemented, or the requirement does not apply to this REST API/backend.</t>
        </is>
      </c>
      <c r="J26" s="30" t="inlineStr">
        <is>
          <t>Scope inference</t>
        </is>
      </c>
      <c r="K26" s="30" t="inlineStr">
        <is>
          <t>Not required for current backend scope.</t>
        </is>
      </c>
      <c r="L26" s="30" t="inlineStr">
        <is>
          <t>No user-controlled printf-style format-string execution path is present in the Java REST backend.</t>
        </is>
      </c>
      <c r="M26" s="30" t="inlineStr">
        <is>
          <t>Revisit if the application scope changes.</t>
        </is>
      </c>
    </row>
    <row r="27" ht="30" customHeight="1" s="26">
      <c r="A27" s="34" t="inlineStr">
        <is>
          <t>V1.3</t>
        </is>
      </c>
      <c r="B27" s="34" t="inlineStr">
        <is>
          <t>Sanitization</t>
        </is>
      </c>
      <c r="C27" s="34" t="inlineStr">
        <is>
          <t>V1.3.11</t>
        </is>
      </c>
      <c r="D27" s="34" t="inlineStr">
        <is>
          <t>Verify that the application sanitizes user input before passing to mail systems to protect against SMTP or IMAP injection.</t>
        </is>
      </c>
      <c r="E27" s="35" t="n">
        <v>2</v>
      </c>
      <c r="F27" s="36" t="inlineStr">
        <is>
          <t>Compliant</t>
        </is>
      </c>
      <c r="G27" s="34" t="inlineStr">
        <is>
          <t>Automatically marked compliant from passing evidence: input shape/range validation; unknown-field rejection; payload/request limit coverage; SQL injection regression and taint checks; SQL injection abuse-case regression.</t>
        </is>
      </c>
      <c r="H27" s="34" t="inlineStr">
        <is>
          <t>SR-28; SR-29; SR-30; SR-09; AC-05; ControllerIntegrationTests; SystemFunctionalTests; ControllerUnitTests; GlobalExceptionHandlerTest; application.properties; AbuseCaseRegressionTest; IastIntegrationTest; Bean Validation and request-shape controls detected</t>
        </is>
      </c>
      <c r="I27" s="30" t="inlineStr">
        <is>
          <t>Automatically inferred as implemented or justified from passing tests, source code, configuration, or build artifacts.</t>
        </is>
      </c>
      <c r="J27" s="30" t="inlineStr">
        <is>
          <t>Automated repository evidence</t>
        </is>
      </c>
      <c r="K27" s="30" t="inlineStr">
        <is>
          <t>ControllerIntegrationTests; SystemFunctionalTests; ControllerUnitTests; GlobalExceptionHandlerTest; application.properties; AbuseCaseRegressionTest; IastIntegrationTest; Bean Validation and request-shape controls detected</t>
        </is>
      </c>
      <c r="L27" s="30" t="inlineStr">
        <is>
          <t>input shape/range validation; unknown-field rejection; payload/request limit coverage; SQL injection regression and taint checks; SQL injection abuse-case regression</t>
        </is>
      </c>
      <c r="M27" s="30" t="inlineStr">
        <is>
          <t>Keep make asvs-tracker passing; reassess if code, tests, or scope changes.</t>
        </is>
      </c>
    </row>
    <row r="28" ht="30" customHeight="1" s="26">
      <c r="A28" s="37" t="inlineStr">
        <is>
          <t>V1.3</t>
        </is>
      </c>
      <c r="B28" s="37" t="inlineStr">
        <is>
          <t>Sanitization</t>
        </is>
      </c>
      <c r="C28" s="37" t="inlineStr">
        <is>
          <t>V1.3.12</t>
        </is>
      </c>
      <c r="D28" s="37" t="inlineStr">
        <is>
          <t>Verify that regular expressions are free from elements causing exponential backtracking, and ensure untrusted input is sanitized to mitigate ReDoS or Runaway Regex attacks.</t>
        </is>
      </c>
      <c r="E28" s="40" t="n">
        <v>3</v>
      </c>
      <c r="F28" s="36" t="inlineStr">
        <is>
          <t>Compliant</t>
        </is>
      </c>
      <c r="G28" s="37" t="inlineStr">
        <is>
          <t>Automatically marked compliant from passing evidence: path traversal and report sandboxing; input shape/range validation; unknown-field rejection; payload/request limit coverage.</t>
        </is>
      </c>
      <c r="H28" s="37" t="inlineStr">
        <is>
          <t>SR-26; SR-28; SR-29; SR-30; PathValidatorImplTest; ReportDirectoryServiceImplTest; AbuseCaseRegressionTest; ControllerIntegrationTests; SystemFunctionalTests; ControllerUnitTests; GlobalExceptionHandlerTest; application.properties; Bean Validation and request-shape controls detected; path validation and report sandbox code detected</t>
        </is>
      </c>
      <c r="I28" s="30" t="inlineStr">
        <is>
          <t>Automatically inferred as implemented or justified from passing tests, source code, configuration, or build artifacts.</t>
        </is>
      </c>
      <c r="J28" s="30" t="inlineStr">
        <is>
          <t>Automated repository evidence</t>
        </is>
      </c>
      <c r="K28" s="30" t="inlineStr">
        <is>
          <t>PathValidatorImplTest; ReportDirectoryServiceImplTest; AbuseCaseRegressionTest; ControllerIntegrationTests; SystemFunctionalTests; ControllerUnitTests; GlobalExceptionHandlerTest; application.properties; Bean Validation and request-shape controls detected; path validation and report sandbox code detected</t>
        </is>
      </c>
      <c r="L28" s="30" t="inlineStr">
        <is>
          <t>path traversal and report sandboxing; input shape/range validation; unknown-field rejection; payload/request limit coverage</t>
        </is>
      </c>
      <c r="M28" s="30" t="inlineStr">
        <is>
          <t>Keep make asvs-tracker passing; reassess if code, tests, or scope changes.</t>
        </is>
      </c>
    </row>
    <row r="29" ht="18" customHeight="1" s="26">
      <c r="A29" s="33" t="inlineStr">
        <is>
          <t>V1.4</t>
        </is>
      </c>
      <c r="B29" s="33" t="inlineStr">
        <is>
          <t>Memory, String, and Unmanaged Code</t>
        </is>
      </c>
      <c r="C29" s="33" t="n"/>
      <c r="D29" s="33" t="n"/>
      <c r="E29" s="33" t="n"/>
      <c r="F29" s="33" t="n"/>
      <c r="G29" s="33" t="n"/>
      <c r="H29" s="33" t="n"/>
      <c r="I29" s="30" t="n"/>
      <c r="J29" s="30" t="n"/>
      <c r="K29" s="30" t="n"/>
      <c r="L29" s="30" t="n"/>
      <c r="M29" s="30" t="n"/>
    </row>
    <row r="30" ht="30" customHeight="1" s="26">
      <c r="A30" s="34" t="inlineStr">
        <is>
          <t>V1.4</t>
        </is>
      </c>
      <c r="B30" s="34" t="inlineStr">
        <is>
          <t>Memory, String, and Unmanaged Code</t>
        </is>
      </c>
      <c r="C30" s="34" t="inlineStr">
        <is>
          <t>V1.4.1</t>
        </is>
      </c>
      <c r="D30" s="34" t="inlineStr">
        <is>
          <t>Verify that the application uses memory-safe string, safer memory copy and pointer arithmetic to detect or prevent stack, buffer, or heap overflows.</t>
        </is>
      </c>
      <c r="E30" s="35" t="n">
        <v>2</v>
      </c>
      <c r="F30" s="39" t="inlineStr">
        <is>
          <t>N/A</t>
        </is>
      </c>
      <c r="G30" s="34" t="inlineStr">
        <is>
          <t>Automatically marked out of scope: This is a managed JVM application without native pointer arithmetic or application-managed memory allocation.</t>
        </is>
      </c>
      <c r="H30" s="34" t="inlineStr">
        <is>
          <t>Automated scope inference</t>
        </is>
      </c>
      <c r="I30" s="30" t="inlineStr">
        <is>
          <t>Out of scope for VendNet as currently implemented, or the requirement does not apply to this REST API/backend.</t>
        </is>
      </c>
      <c r="J30" s="30" t="inlineStr">
        <is>
          <t>Scope inference</t>
        </is>
      </c>
      <c r="K30" s="30" t="inlineStr">
        <is>
          <t>Not required for current backend scope.</t>
        </is>
      </c>
      <c r="L30" s="30" t="inlineStr">
        <is>
          <t>This is a managed JVM application without native pointer arithmetic or application-managed memory allocation.</t>
        </is>
      </c>
      <c r="M30" s="30" t="inlineStr">
        <is>
          <t>Revisit if the application scope changes.</t>
        </is>
      </c>
    </row>
    <row r="31" ht="30" customHeight="1" s="26">
      <c r="A31" s="37" t="inlineStr">
        <is>
          <t>V1.4</t>
        </is>
      </c>
      <c r="B31" s="37" t="inlineStr">
        <is>
          <t>Memory, String, and Unmanaged Code</t>
        </is>
      </c>
      <c r="C31" s="37" t="inlineStr">
        <is>
          <t>V1.4.2</t>
        </is>
      </c>
      <c r="D31" s="37" t="inlineStr">
        <is>
          <t>Verify that sign, range, and input validation techniques are used to prevent integer overflows.</t>
        </is>
      </c>
      <c r="E31" s="35" t="n">
        <v>2</v>
      </c>
      <c r="F31" s="36" t="inlineStr">
        <is>
          <t>Compliant</t>
        </is>
      </c>
      <c r="G31" s="37" t="inlineStr">
        <is>
          <t>Automatically marked compliant from passing evidence: stock limit validation; input shape/range validation; unknown-field rejection; payload/request limit coverage.</t>
        </is>
      </c>
      <c r="H31" s="37" t="inlineStr">
        <is>
          <t>SR-25; SR-28; SR-29; SR-30; SlotServiceTest; SaleServiceTest; ControllerIntegrationTests; SystemFunctionalTests; ControllerUnitTests; GlobalExceptionHandlerTest; application.properties; Bean Validation and request-shape controls detected</t>
        </is>
      </c>
      <c r="I31" s="30" t="inlineStr">
        <is>
          <t>Automatically inferred as implemented or justified from passing tests, source code, configuration, or build artifacts.</t>
        </is>
      </c>
      <c r="J31" s="30" t="inlineStr">
        <is>
          <t>Automated repository evidence</t>
        </is>
      </c>
      <c r="K31" s="30" t="inlineStr">
        <is>
          <t>SlotServiceTest; SaleServiceTest; ControllerIntegrationTests; SystemFunctionalTests; ControllerUnitTests; GlobalExceptionHandlerTest; application.properties; Bean Validation and request-shape controls detected</t>
        </is>
      </c>
      <c r="L31" s="30" t="inlineStr">
        <is>
          <t>stock limit validation; input shape/range validation; unknown-field rejection; payload/request limit coverage</t>
        </is>
      </c>
      <c r="M31" s="30" t="inlineStr">
        <is>
          <t>Keep make asvs-tracker passing; reassess if code, tests, or scope changes.</t>
        </is>
      </c>
    </row>
    <row r="32" ht="30" customHeight="1" s="26">
      <c r="A32" s="34" t="inlineStr">
        <is>
          <t>V1.4</t>
        </is>
      </c>
      <c r="B32" s="34" t="inlineStr">
        <is>
          <t>Memory, String, and Unmanaged Code</t>
        </is>
      </c>
      <c r="C32" s="34" t="inlineStr">
        <is>
          <t>V1.4.3</t>
        </is>
      </c>
      <c r="D32" s="34" t="inlineStr">
        <is>
          <t>Verify that dynamically allocated memory and resources are released, and that references or pointers to freed memory are removed or set to null to prevent dangling pointers and use-after-free vulnerabilities.</t>
        </is>
      </c>
      <c r="E32" s="35" t="n">
        <v>2</v>
      </c>
      <c r="F32" s="39" t="inlineStr">
        <is>
          <t>N/A</t>
        </is>
      </c>
      <c r="G32" s="34" t="inlineStr">
        <is>
          <t>Automatically marked out of scope: This is a managed JVM application without native pointer arithmetic or application-managed memory allocation.</t>
        </is>
      </c>
      <c r="H32" s="34" t="inlineStr">
        <is>
          <t>Automated scope inference</t>
        </is>
      </c>
      <c r="I32" s="30" t="inlineStr">
        <is>
          <t>Out of scope for VendNet as currently implemented, or the requirement does not apply to this REST API/backend.</t>
        </is>
      </c>
      <c r="J32" s="30" t="inlineStr">
        <is>
          <t>Scope inference</t>
        </is>
      </c>
      <c r="K32" s="30" t="inlineStr">
        <is>
          <t>Not required for current backend scope.</t>
        </is>
      </c>
      <c r="L32" s="30" t="inlineStr">
        <is>
          <t>This is a managed JVM application without native pointer arithmetic or application-managed memory allocation.</t>
        </is>
      </c>
      <c r="M32" s="30" t="inlineStr">
        <is>
          <t>Revisit if the application scope changes.</t>
        </is>
      </c>
    </row>
    <row r="33" ht="18" customHeight="1" s="26">
      <c r="A33" s="33" t="inlineStr">
        <is>
          <t>V1.5</t>
        </is>
      </c>
      <c r="B33" s="33" t="inlineStr">
        <is>
          <t>Safe Deserialization</t>
        </is>
      </c>
      <c r="C33" s="33" t="n"/>
      <c r="D33" s="33" t="n"/>
      <c r="E33" s="33" t="n"/>
      <c r="F33" s="33" t="n"/>
      <c r="G33" s="33" t="n"/>
      <c r="H33" s="33" t="n"/>
      <c r="I33" s="30" t="n"/>
      <c r="J33" s="30" t="n"/>
      <c r="K33" s="30" t="n"/>
      <c r="L33" s="30" t="n"/>
      <c r="M33" s="30" t="n"/>
    </row>
    <row r="34" ht="30" customHeight="1" s="26">
      <c r="A34" s="34" t="inlineStr">
        <is>
          <t>V1.5</t>
        </is>
      </c>
      <c r="B34" s="34" t="inlineStr">
        <is>
          <t>Safe Deserialization</t>
        </is>
      </c>
      <c r="C34" s="34" t="inlineStr">
        <is>
          <t>V1.5.1</t>
        </is>
      </c>
      <c r="D34" s="34" t="inlineStr">
        <is>
          <t>Verify that the application configures XML parsers to use a restrictive configuration and that unsafe features such as resolving external entities are disabled to prevent XML eXternal Entity (XXE) attacks.</t>
        </is>
      </c>
      <c r="E34" s="38" t="n">
        <v>1</v>
      </c>
      <c r="F34" s="39" t="inlineStr">
        <is>
          <t>N/A</t>
        </is>
      </c>
      <c r="G34" s="34" t="inlineStr">
        <is>
          <t>Automatically marked out of scope: No XML/SOAP API surface is present; controllers return JSON REST responses.</t>
        </is>
      </c>
      <c r="H34" s="34" t="inlineStr">
        <is>
          <t>Automated scope inference</t>
        </is>
      </c>
      <c r="I34" s="30" t="inlineStr">
        <is>
          <t>Out of scope for VendNet as currently implemented, or the requirement does not apply to this REST API/backend.</t>
        </is>
      </c>
      <c r="J34" s="30" t="inlineStr">
        <is>
          <t>Scope inference</t>
        </is>
      </c>
      <c r="K34" s="30" t="inlineStr">
        <is>
          <t>Not required for current backend scope.</t>
        </is>
      </c>
      <c r="L34" s="30" t="inlineStr">
        <is>
          <t>No XML/SOAP API surface is present; controllers return JSON REST responses.</t>
        </is>
      </c>
      <c r="M34" s="30" t="inlineStr">
        <is>
          <t>Revisit if the application scope changes.</t>
        </is>
      </c>
    </row>
    <row r="35" ht="30" customHeight="1" s="26">
      <c r="A35" s="37" t="inlineStr">
        <is>
          <t>V1.5</t>
        </is>
      </c>
      <c r="B35" s="37" t="inlineStr">
        <is>
          <t>Safe Deserialization</t>
        </is>
      </c>
      <c r="C35" s="37" t="inlineStr">
        <is>
          <t>V1.5.2</t>
        </is>
      </c>
      <c r="D35" s="37"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35" t="n">
        <v>2</v>
      </c>
      <c r="F35" s="36" t="inlineStr">
        <is>
          <t>Compliant</t>
        </is>
      </c>
      <c r="G35" s="37" t="inlineStr">
        <is>
          <t>Automatically marked compliant from passing evidence: input shape/range validation; unknown-field rejection; payload/request limit coverage.</t>
        </is>
      </c>
      <c r="H35" s="37" t="inlineStr">
        <is>
          <t>SR-28; SR-29; SR-30; ControllerIntegrationTests; SystemFunctionalTests; ControllerUnitTests; GlobalExceptionHandlerTest; application.properties; Bean Validation and request-shape controls detected</t>
        </is>
      </c>
      <c r="I35" s="30" t="inlineStr">
        <is>
          <t>Automatically inferred as implemented or justified from passing tests, source code, configuration, or build artifacts.</t>
        </is>
      </c>
      <c r="J35" s="30" t="inlineStr">
        <is>
          <t>Automated repository evidence</t>
        </is>
      </c>
      <c r="K35" s="30" t="inlineStr">
        <is>
          <t>ControllerIntegrationTests; SystemFunctionalTests; ControllerUnitTests; GlobalExceptionHandlerTest; application.properties; Bean Validation and request-shape controls detected</t>
        </is>
      </c>
      <c r="L35" s="30" t="inlineStr">
        <is>
          <t>input shape/range validation; unknown-field rejection; payload/request limit coverage</t>
        </is>
      </c>
      <c r="M35" s="30" t="inlineStr">
        <is>
          <t>Keep make asvs-tracker passing; reassess if code, tests, or scope changes.</t>
        </is>
      </c>
    </row>
    <row r="36" ht="30" customHeight="1" s="26">
      <c r="A36" s="34" t="inlineStr">
        <is>
          <t>V1.5</t>
        </is>
      </c>
      <c r="B36" s="34" t="inlineStr">
        <is>
          <t>Safe Deserialization</t>
        </is>
      </c>
      <c r="C36" s="34" t="inlineStr">
        <is>
          <t>V1.5.3</t>
        </is>
      </c>
      <c r="D36" s="34"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40" t="n">
        <v>3</v>
      </c>
      <c r="F36" s="39" t="inlineStr">
        <is>
          <t>N/A</t>
        </is>
      </c>
      <c r="G36" s="34" t="inlineStr">
        <is>
          <t>Automatically marked out of scope: No XML/SOAP API surface is present; controllers return JSON REST responses.</t>
        </is>
      </c>
      <c r="H36" s="34" t="inlineStr">
        <is>
          <t>Automated scope inference</t>
        </is>
      </c>
      <c r="I36" s="30" t="inlineStr">
        <is>
          <t>Out of scope for VendNet as currently implemented, or the requirement does not apply to this REST API/backend.</t>
        </is>
      </c>
      <c r="J36" s="30" t="inlineStr">
        <is>
          <t>Scope inference</t>
        </is>
      </c>
      <c r="K36" s="30" t="inlineStr">
        <is>
          <t>Not required for current backend scope.</t>
        </is>
      </c>
      <c r="L36" s="30" t="inlineStr">
        <is>
          <t>No XML/SOAP API surface is present; controllers return JSON REST responses.</t>
        </is>
      </c>
      <c r="M36" s="30" t="inlineStr">
        <is>
          <t>Revisit if the application scope changes.</t>
        </is>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M18"/>
  <sheetViews>
    <sheetView zoomScale="75" zoomScaleNormal="75" workbookViewId="0">
      <pane ySplit="1" topLeftCell="A2" activePane="bottomLeft" state="frozen"/>
      <selection pane="bottomLeft" activeCell="F3" sqref="F3"/>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V2.1</t>
        </is>
      </c>
      <c r="B2" s="33" t="inlineStr">
        <is>
          <t>Validation and Business Logic Documentation</t>
        </is>
      </c>
      <c r="C2" s="33" t="n"/>
      <c r="D2" s="33" t="n"/>
      <c r="E2" s="33" t="n"/>
      <c r="F2" s="33" t="n"/>
      <c r="G2" s="33" t="n"/>
      <c r="H2" s="33" t="n"/>
      <c r="I2" s="30" t="n"/>
      <c r="J2" s="30" t="n"/>
      <c r="K2" s="30" t="n"/>
      <c r="L2" s="30" t="n"/>
      <c r="M2" s="30" t="n"/>
    </row>
    <row r="3" ht="30" customHeight="1" s="26">
      <c r="A3" s="34" t="inlineStr">
        <is>
          <t>V2.1</t>
        </is>
      </c>
      <c r="B3" s="34" t="inlineStr">
        <is>
          <t>Validation and Business Logic Documentation</t>
        </is>
      </c>
      <c r="C3" s="34" t="inlineStr">
        <is>
          <t>V2.1.1</t>
        </is>
      </c>
      <c r="D3" s="34"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38" t="n">
        <v>1</v>
      </c>
      <c r="F3" s="36" t="inlineStr">
        <is>
          <t>Compliant</t>
        </is>
      </c>
      <c r="G3" s="34" t="inlineStr">
        <is>
          <t>Automatically marked compliant from passing evidence: server-side price enforcement; pagination/large-response controls; input shape/range validation; unknown-field rejection; payload/request limit coverage.</t>
        </is>
      </c>
      <c r="H3" s="34" t="inlineStr">
        <is>
          <t>SR-24; SR-31; SR-28; SR-29; SR-30; SaleServiceTest; AbuseCaseRegressionTest; ControllerIntegrationTests; SystemFunctionalTests; ControllerUnitTests; GlobalExceptionHandlerTest; application.properties; Bean Validation and request-shape controls detected</t>
        </is>
      </c>
      <c r="I3" s="30" t="inlineStr">
        <is>
          <t>Automatically inferred as implemented or justified from passing tests, source code, configuration, or build artifacts.</t>
        </is>
      </c>
      <c r="J3" s="30" t="inlineStr">
        <is>
          <t>Automated repository evidence</t>
        </is>
      </c>
      <c r="K3" s="30" t="inlineStr">
        <is>
          <t>SaleServiceTest; AbuseCaseRegressionTest; ControllerIntegrationTests; SystemFunctionalTests; ControllerUnitTests; GlobalExceptionHandlerTest; application.properties; Bean Validation and request-shape controls detected</t>
        </is>
      </c>
      <c r="L3" s="30" t="inlineStr">
        <is>
          <t>server-side price enforcement; pagination/large-response controls; input shape/range validation; unknown-field rejection; payload/request limit coverage</t>
        </is>
      </c>
      <c r="M3" s="30" t="inlineStr">
        <is>
          <t>Keep make asvs-tracker passing; reassess if code, tests, or scope changes.</t>
        </is>
      </c>
    </row>
    <row r="4" ht="30" customHeight="1" s="26">
      <c r="A4" s="37" t="inlineStr">
        <is>
          <t>V2.1</t>
        </is>
      </c>
      <c r="B4" s="37" t="inlineStr">
        <is>
          <t>Validation and Business Logic Documentation</t>
        </is>
      </c>
      <c r="C4" s="37" t="inlineStr">
        <is>
          <t>V2.1.2</t>
        </is>
      </c>
      <c r="D4" s="37" t="inlineStr">
        <is>
          <t>Verify that the application's documentation defines how to validate the logical and contextual consistency of combined data items, such as checking that suburb and ZIP code match.</t>
        </is>
      </c>
      <c r="E4" s="35" t="n">
        <v>2</v>
      </c>
      <c r="F4" s="36" t="inlineStr">
        <is>
          <t>Compliant</t>
        </is>
      </c>
      <c r="G4" s="37" t="inlineStr">
        <is>
          <t>Automatically marked compliant from passing evidence: stock limit validation; input shape/range validation; unknown-field rejection; payload/request limit coverage; authentication audit logging; sensitive log data checks; safe error response checks.</t>
        </is>
      </c>
      <c r="H4" s="37" t="inlineStr">
        <is>
          <t>SR-25; SR-28; SR-29; SR-30; SR-37; SR-45; SR-46; SlotServiceTest; SaleServiceTest;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I4" s="30" t="inlineStr">
        <is>
          <t>Automatically inferred as implemented or justified from passing tests, source code, configuration, or build artifacts.</t>
        </is>
      </c>
      <c r="J4" s="30" t="inlineStr">
        <is>
          <t>Automated repository evidence</t>
        </is>
      </c>
      <c r="K4" s="30" t="inlineStr">
        <is>
          <t>SlotServiceTest; SaleServiceTest;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L4" s="30" t="inlineStr">
        <is>
          <t>stock limit validation; input shape/range validation; unknown-field rejection; payload/request limit coverage; authentication audit logging; sensitive log data checks; safe error response checks</t>
        </is>
      </c>
      <c r="M4" s="30" t="inlineStr">
        <is>
          <t>Keep make asvs-tracker passing; reassess if code, tests, or scope changes.</t>
        </is>
      </c>
    </row>
    <row r="5" ht="30" customHeight="1" s="26">
      <c r="A5" s="34" t="inlineStr">
        <is>
          <t>V2.1</t>
        </is>
      </c>
      <c r="B5" s="34" t="inlineStr">
        <is>
          <t>Validation and Business Logic Documentation</t>
        </is>
      </c>
      <c r="C5" s="34" t="inlineStr">
        <is>
          <t>V2.1.3</t>
        </is>
      </c>
      <c r="D5" s="34" t="inlineStr">
        <is>
          <t>Verify that expectations for business logic limits and validations are documented, including both per-user and globally across the application.</t>
        </is>
      </c>
      <c r="E5" s="35" t="n">
        <v>2</v>
      </c>
      <c r="F5" s="36" t="inlineStr">
        <is>
          <t>Compliant</t>
        </is>
      </c>
      <c r="G5" s="34" t="inlineStr">
        <is>
          <t>Automatically marked compliant from passing evidence: administrator MFA; safe error response checks;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t>
        </is>
      </c>
      <c r="H5" s="34" t="inlineStr">
        <is>
          <t>NFR-01; NFR-15; SR-01; SR-46; SR-28; SR-29; SR-30; SR-15; SR-24; SR-25; AC-03; AC-07; SR-37; SR-45; AuthServiceTest; AuthControllerIntegrationTest; GlobalExceptionHandlerTest; ControllerIntegrationTests; SystemFunctionalTests; ControllerUnitTests; application.properties; SaleServiceTest; SlotServiceTest; AbuseCaseRegressionTest; AuditLoggerTest; MFA/TOTP code and tests detected; Bean Validation and request-shape controls detected; audit logging implementation detected; centralized safe error handling detected</t>
        </is>
      </c>
      <c r="I5" s="30" t="inlineStr">
        <is>
          <t>Automatically inferred as implemented or justified from passing tests, source code, configuration, or build artifacts.</t>
        </is>
      </c>
      <c r="J5" s="30" t="inlineStr">
        <is>
          <t>Automated repository evidence</t>
        </is>
      </c>
      <c r="K5" s="30" t="inlineStr">
        <is>
          <t>AuthServiceTest; AuthControllerIntegrationTest; GlobalExceptionHandlerTest; ControllerIntegrationTests; SystemFunctionalTests; ControllerUnitTests; application.properties; SaleServiceTest; SlotServiceTest; AbuseCaseRegressionTest; AuditLoggerTest; MFA/TOTP code and tests detected; Bean Validation and request-shape controls detected; audit logging implementation detected; centralized safe error handling detected</t>
        </is>
      </c>
      <c r="L5" s="30" t="inlineStr">
        <is>
          <t>administrator MFA; safe error response checks;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t>
        </is>
      </c>
      <c r="M5" s="30" t="inlineStr">
        <is>
          <t>Keep make asvs-tracker passing; reassess if code, tests, or scope changes.</t>
        </is>
      </c>
    </row>
    <row r="6" ht="18" customHeight="1" s="26">
      <c r="A6" s="33" t="inlineStr">
        <is>
          <t>V2.2</t>
        </is>
      </c>
      <c r="B6" s="33" t="inlineStr">
        <is>
          <t>Input Validation</t>
        </is>
      </c>
      <c r="C6" s="33" t="n"/>
      <c r="D6" s="33" t="n"/>
      <c r="E6" s="33" t="n"/>
      <c r="F6" s="33" t="n"/>
      <c r="G6" s="33" t="n"/>
      <c r="H6" s="33" t="n"/>
      <c r="I6" s="30" t="n"/>
      <c r="J6" s="30" t="n"/>
      <c r="K6" s="30" t="n"/>
      <c r="L6" s="30" t="n"/>
      <c r="M6" s="30" t="n"/>
    </row>
    <row r="7" ht="30" customHeight="1" s="26">
      <c r="A7" s="34" t="inlineStr">
        <is>
          <t>V2.2</t>
        </is>
      </c>
      <c r="B7" s="34" t="inlineStr">
        <is>
          <t>Input Validation</t>
        </is>
      </c>
      <c r="C7" s="34" t="inlineStr">
        <is>
          <t>V2.2.1</t>
        </is>
      </c>
      <c r="D7" s="34"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38" t="n">
        <v>1</v>
      </c>
      <c r="F7" s="36" t="inlineStr">
        <is>
          <t>Compliant</t>
        </is>
      </c>
      <c r="G7" s="34" t="inlineStr">
        <is>
          <t>Automatically marked compliant from passing evidence: server-side price enforcement; stock limit validation; path traversal and report sandboxing; input shape/range validation; unknown-field rejection; payload/request limit coverage; pagination/large-response controls; authentication audit logging; sensitive log data checks; safe error response checks.</t>
        </is>
      </c>
      <c r="H7" s="34" t="inlineStr">
        <is>
          <t>SR-24; SR-25; SR-26; SR-28; SR-29; SR-30; SR-31; SR-37; SR-45; SR-46; SaleServiceTest; AbuseCaseRegressionTest; SlotServiceTest; PathValidatorImplTest; ReportDirectoryServiceImplTest; ControllerIntegrationTests; SystemFunctionalTests; ControllerUnitTests; GlobalExceptionHandlerTest; application.properties; AuthServiceTest; AuditLoggerTest; Bean Validation and request-shape controls detected; path validation and report sandbox code detected; audit logging implementation detected; centralized safe error handling detected</t>
        </is>
      </c>
      <c r="I7" s="30" t="inlineStr">
        <is>
          <t>Automatically inferred as implemented or justified from passing tests, source code, configuration, or build artifacts.</t>
        </is>
      </c>
      <c r="J7" s="30" t="inlineStr">
        <is>
          <t>Automated repository evidence</t>
        </is>
      </c>
      <c r="K7" s="30" t="inlineStr">
        <is>
          <t>SaleServiceTest; AbuseCaseRegressionTest; SlotServiceTest; PathValidatorImplTest; ReportDirectoryServiceImplTest; ControllerIntegrationTests; SystemFunctionalTests; ControllerUnitTests; GlobalExceptionHandlerTest; application.properties; AuthServiceTest; AuditLoggerTest; Bean Validation and request-shape controls detected; path validation and report sandbox code detected; audit logging implementation detected; centralized safe error handling detected</t>
        </is>
      </c>
      <c r="L7" s="30" t="inlineStr">
        <is>
          <t>server-side price enforcement; stock limit validation; path traversal and report sandboxing; input shape/range validation; unknown-field rejection; payload/request limit coverage; pagination/large-response controls; authentication audit logging; sensitive log data checks; safe error response checks</t>
        </is>
      </c>
      <c r="M7" s="30" t="inlineStr">
        <is>
          <t>Keep make asvs-tracker passing; reassess if code, tests, or scope changes.</t>
        </is>
      </c>
    </row>
    <row r="8" ht="30" customHeight="1" s="26">
      <c r="A8" s="37" t="inlineStr">
        <is>
          <t>V2.2</t>
        </is>
      </c>
      <c r="B8" s="37" t="inlineStr">
        <is>
          <t>Input Validation</t>
        </is>
      </c>
      <c r="C8" s="37" t="inlineStr">
        <is>
          <t>V2.2.2</t>
        </is>
      </c>
      <c r="D8" s="37" t="inlineStr">
        <is>
          <t>Verify that the application is designed to enforce input validation at a trusted service layer. While client-side validation improves usability and should be encouraged, it must not be relied upon as a security control.</t>
        </is>
      </c>
      <c r="E8" s="38" t="n">
        <v>1</v>
      </c>
      <c r="F8" s="36" t="inlineStr">
        <is>
          <t>Compliant</t>
        </is>
      </c>
      <c r="G8" s="37" t="inlineStr">
        <is>
          <t>Automatically marked compliant from passing evidence: server-side price enforcement; stock limit validation; input shape/range validation; unknown-field rejection; payload/request limit coverage.</t>
        </is>
      </c>
      <c r="H8" s="37" t="inlineStr">
        <is>
          <t>SR-24; SR-25; SR-28; SR-29; SR-30; SaleServiceTest; AbuseCaseRegressionTest; SlotServiceTest; ControllerIntegrationTests; SystemFunctionalTests; ControllerUnitTests; GlobalExceptionHandlerTest; application.properties; Bean Validation and request-shape controls detected</t>
        </is>
      </c>
      <c r="I8" s="30" t="inlineStr">
        <is>
          <t>Automatically inferred as implemented or justified from passing tests, source code, configuration, or build artifacts.</t>
        </is>
      </c>
      <c r="J8" s="30" t="inlineStr">
        <is>
          <t>Automated repository evidence</t>
        </is>
      </c>
      <c r="K8" s="30" t="inlineStr">
        <is>
          <t>SaleServiceTest; AbuseCaseRegressionTest; SlotServiceTest; ControllerIntegrationTests; SystemFunctionalTests; ControllerUnitTests; GlobalExceptionHandlerTest; application.properties; Bean Validation and request-shape controls detected</t>
        </is>
      </c>
      <c r="L8" s="30" t="inlineStr">
        <is>
          <t>server-side price enforcement; stock limit validation; input shape/range validation; unknown-field rejection; payload/request limit coverage</t>
        </is>
      </c>
      <c r="M8" s="30" t="inlineStr">
        <is>
          <t>Keep make asvs-tracker passing; reassess if code, tests, or scope changes.</t>
        </is>
      </c>
    </row>
    <row r="9" ht="30" customHeight="1" s="26">
      <c r="A9" s="34" t="inlineStr">
        <is>
          <t>V2.2</t>
        </is>
      </c>
      <c r="B9" s="34" t="inlineStr">
        <is>
          <t>Input Validation</t>
        </is>
      </c>
      <c r="C9" s="34" t="inlineStr">
        <is>
          <t>V2.2.3</t>
        </is>
      </c>
      <c r="D9" s="34" t="inlineStr">
        <is>
          <t>Verify that the application ensures that combinations of related data items are reasonable according to the pre-defined rules.</t>
        </is>
      </c>
      <c r="E9" s="35" t="n">
        <v>2</v>
      </c>
      <c r="F9" s="36" t="inlineStr">
        <is>
          <t>Compliant</t>
        </is>
      </c>
      <c r="G9" s="34" t="inlineStr">
        <is>
          <t>Automatically marked compliant from passing evidence: transaction and stock consistency; stock limit validation; input shape/range validation; unknown-field rejection; payload/request limit coverage.</t>
        </is>
      </c>
      <c r="H9" s="34" t="inlineStr">
        <is>
          <t>SR-15; SR-25; SR-28; SR-29; SR-30; SaleServiceTest; SlotServiceTest; AbuseCaseRegressionTest; ControllerIntegrationTests; SystemFunctionalTests; ControllerUnitTests; GlobalExceptionHandlerTest; application.properties; Bean Validation and request-shape controls detected</t>
        </is>
      </c>
      <c r="I9" s="30" t="inlineStr">
        <is>
          <t>Automatically inferred as implemented or justified from passing tests, source code, configuration, or build artifacts.</t>
        </is>
      </c>
      <c r="J9" s="30" t="inlineStr">
        <is>
          <t>Automated repository evidence</t>
        </is>
      </c>
      <c r="K9" s="30" t="inlineStr">
        <is>
          <t>SaleServiceTest; SlotServiceTest; AbuseCaseRegressionTest; ControllerIntegrationTests; SystemFunctionalTests; ControllerUnitTests; GlobalExceptionHandlerTest; application.properties; Bean Validation and request-shape controls detected</t>
        </is>
      </c>
      <c r="L9" s="30" t="inlineStr">
        <is>
          <t>transaction and stock consistency; stock limit validation; input shape/range validation; unknown-field rejection; payload/request limit coverage</t>
        </is>
      </c>
      <c r="M9" s="30" t="inlineStr">
        <is>
          <t>Keep make asvs-tracker passing; reassess if code, tests, or scope changes.</t>
        </is>
      </c>
    </row>
    <row r="10" ht="18" customHeight="1" s="26">
      <c r="A10" s="33" t="inlineStr">
        <is>
          <t>V2.3</t>
        </is>
      </c>
      <c r="B10" s="33" t="inlineStr">
        <is>
          <t>Business Logic Security</t>
        </is>
      </c>
      <c r="C10" s="33" t="n"/>
      <c r="D10" s="33" t="n"/>
      <c r="E10" s="33" t="n"/>
      <c r="F10" s="33" t="n"/>
      <c r="G10" s="33" t="n"/>
      <c r="H10" s="33" t="n"/>
      <c r="I10" s="30" t="n"/>
      <c r="J10" s="30" t="n"/>
      <c r="K10" s="30" t="n"/>
      <c r="L10" s="30" t="n"/>
      <c r="M10" s="30" t="n"/>
    </row>
    <row r="11" ht="30" customHeight="1" s="26">
      <c r="A11" s="34" t="inlineStr">
        <is>
          <t>V2.3</t>
        </is>
      </c>
      <c r="B11" s="34" t="inlineStr">
        <is>
          <t>Business Logic Security</t>
        </is>
      </c>
      <c r="C11" s="34" t="inlineStr">
        <is>
          <t>V2.3.1</t>
        </is>
      </c>
      <c r="D11" s="34" t="inlineStr">
        <is>
          <t>Verify that the application will only process business logic flows for the same user in the expected sequential step order and without skipping steps.</t>
        </is>
      </c>
      <c r="E11" s="38" t="n">
        <v>1</v>
      </c>
      <c r="F11" s="36" t="inlineStr">
        <is>
          <t>Compliant</t>
        </is>
      </c>
      <c r="G11" s="34" t="inlineStr">
        <is>
          <t>Automatically marked compliant from passing evidence: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H11" s="34" t="inlineStr">
        <is>
          <t>SR-28; SR-29; SR-30; SR-15; SR-24; SR-25; AC-03; AC-07; SR-37; SR-45; SR-46; ControllerIntegrationTests; SystemFunctionalTests; ControllerUnitTests; GlobalExceptionHandlerTest; application.properties; SaleServiceTest; SlotServiceTest; AbuseCaseRegressionTest; AuthServiceTest; AuditLoggerTest; Bean Validation and request-shape controls detected; audit logging implementation detected; centralized safe error handling detected</t>
        </is>
      </c>
      <c r="I11" s="30" t="inlineStr">
        <is>
          <t>Automatically inferred as implemented or justified from passing tests, source code, configuration, or build artifacts.</t>
        </is>
      </c>
      <c r="J11" s="30" t="inlineStr">
        <is>
          <t>Automated repository evidence</t>
        </is>
      </c>
      <c r="K11" s="30" t="inlineStr">
        <is>
          <t>ControllerIntegrationTests; SystemFunctionalTests; ControllerUnitTests; GlobalExceptionHandlerTest; application.properties; SaleServiceTest; SlotServiceTest; AbuseCaseRegressionTest; AuthServiceTest; AuditLoggerTest; Bean Validation and request-shape controls detected; audit logging implementation detected; centralized safe error handling detected</t>
        </is>
      </c>
      <c r="L11" s="30" t="inlineStr">
        <is>
          <t>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M11" s="30" t="inlineStr">
        <is>
          <t>Keep make asvs-tracker passing; reassess if code, tests, or scope changes.</t>
        </is>
      </c>
    </row>
    <row r="12" ht="30" customHeight="1" s="26">
      <c r="A12" s="37" t="inlineStr">
        <is>
          <t>V2.3</t>
        </is>
      </c>
      <c r="B12" s="37" t="inlineStr">
        <is>
          <t>Business Logic Security</t>
        </is>
      </c>
      <c r="C12" s="37" t="inlineStr">
        <is>
          <t>V2.3.2</t>
        </is>
      </c>
      <c r="D12" s="37" t="inlineStr">
        <is>
          <t>Verify that business logic limits are implemented per the application's documentation to avoid business logic flaws being exploited.</t>
        </is>
      </c>
      <c r="E12" s="35" t="n">
        <v>2</v>
      </c>
      <c r="F12" s="36" t="inlineStr">
        <is>
          <t>Compliant</t>
        </is>
      </c>
      <c r="G12" s="37" t="inlineStr">
        <is>
          <t>Automatically marked compliant from passing evidence: server-side price enforcement; stock limit validation; input shape/range validation; unknown-field rejection; payload/request limit coverage; transaction and stock consistency; client-supplied price abuse-case regression; TOCTOU/stock race abuse-case regression; authentication audit logging; sensitive log data checks; safe error response checks.</t>
        </is>
      </c>
      <c r="H12" s="37" t="inlineStr">
        <is>
          <t>SR-24; SR-25; SR-28; SR-29; SR-30; SR-15; AC-03; AC-07; SR-37; SR-45; SR-46; SaleServiceTest; AbuseCaseRegressionTest; SlotServiceTest;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I12" s="30" t="inlineStr">
        <is>
          <t>Automatically inferred as implemented or justified from passing tests, source code, configuration, or build artifacts.</t>
        </is>
      </c>
      <c r="J12" s="30" t="inlineStr">
        <is>
          <t>Automated repository evidence</t>
        </is>
      </c>
      <c r="K12" s="30" t="inlineStr">
        <is>
          <t>SaleServiceTest; AbuseCaseRegressionTest; SlotServiceTest;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L12" s="30" t="inlineStr">
        <is>
          <t>server-side price enforcement; stock limit validation; input shape/range validation; unknown-field rejection; payload/request limit coverage; transaction and stock consistency; client-supplied price abuse-case regression; TOCTOU/stock race abuse-case regression; authentication audit logging; sensitive log data checks; safe error response checks</t>
        </is>
      </c>
      <c r="M12" s="30" t="inlineStr">
        <is>
          <t>Keep make asvs-tracker passing; reassess if code, tests, or scope changes.</t>
        </is>
      </c>
    </row>
    <row r="13" ht="30" customHeight="1" s="26">
      <c r="A13" s="34" t="inlineStr">
        <is>
          <t>V2.3</t>
        </is>
      </c>
      <c r="B13" s="34" t="inlineStr">
        <is>
          <t>Business Logic Security</t>
        </is>
      </c>
      <c r="C13" s="34" t="inlineStr">
        <is>
          <t>V2.3.3</t>
        </is>
      </c>
      <c r="D13" s="34" t="inlineStr">
        <is>
          <t>Verify that transactions are being used at the business logic level such that either a business logic operation succeeds in its entirety or it is rolled back to the previous correct state.</t>
        </is>
      </c>
      <c r="E13" s="35" t="n">
        <v>2</v>
      </c>
      <c r="F13" s="36" t="inlineStr">
        <is>
          <t>Compliant</t>
        </is>
      </c>
      <c r="G13" s="34" t="inlineStr">
        <is>
          <t>Automatically marked compliant from passing evidence: transaction and stock consistency; input shape/range validation; unknown-field rejection; payload/request limit coverage; server-side price enforcement; stock limit validation; client-supplied price abuse-case regression; TOCTOU/stock race abuse-case regression; authentication audit logging; sensitive log data checks; safe error response checks.</t>
        </is>
      </c>
      <c r="H13" s="34" t="inlineStr">
        <is>
          <t>NFR-08; SR-15; SR-28; SR-29; SR-30; SR-24; SR-25; AC-03; AC-07; SR-37; SR-45; SR-46; SaleServiceTest; SlotServiceTest; AbuseCaseRegressionTest;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I13" s="30" t="inlineStr">
        <is>
          <t>Automatically inferred as implemented or justified from passing tests, source code, configuration, or build artifacts.</t>
        </is>
      </c>
      <c r="J13" s="30" t="inlineStr">
        <is>
          <t>Automated repository evidence</t>
        </is>
      </c>
      <c r="K13" s="30" t="inlineStr">
        <is>
          <t>SaleServiceTest; SlotServiceTest; AbuseCaseRegressionTest;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L13" s="30" t="inlineStr">
        <is>
          <t>transaction and stock consistency; input shape/range validation; unknown-field rejection; payload/request limit coverage; server-side price enforcement; stock limit validation; client-supplied price abuse-case regression; TOCTOU/stock race abuse-case regression; authentication audit logging; sensitive log data checks; safe error response checks</t>
        </is>
      </c>
      <c r="M13" s="30" t="inlineStr">
        <is>
          <t>Keep make asvs-tracker passing; reassess if code, tests, or scope changes.</t>
        </is>
      </c>
    </row>
    <row r="14" ht="30" customHeight="1" s="26">
      <c r="A14" s="37" t="inlineStr">
        <is>
          <t>V2.3</t>
        </is>
      </c>
      <c r="B14" s="37" t="inlineStr">
        <is>
          <t>Business Logic Security</t>
        </is>
      </c>
      <c r="C14" s="37" t="inlineStr">
        <is>
          <t>V2.3.4</t>
        </is>
      </c>
      <c r="D14" s="37" t="inlineStr">
        <is>
          <t>Verify that business logic level locking mechanisms are used to ensure that limited quantity resources (such as theater seats or delivery slots) cannot be double-booked by manipulating the application's logic.</t>
        </is>
      </c>
      <c r="E14" s="35" t="n">
        <v>2</v>
      </c>
      <c r="F14" s="36" t="inlineStr">
        <is>
          <t>Compliant</t>
        </is>
      </c>
      <c r="G14" s="37" t="inlineStr">
        <is>
          <t>Automatically marked compliant from passing evidence: transaction and stock consistency; input shape/range validation; unknown-field rejection; payload/request limit coverage; server-side price enforcement; stock limit validation; client-supplied price abuse-case regression; TOCTOU/stock race abuse-case regression; authentication audit logging; sensitive log data checks; safe error response checks.</t>
        </is>
      </c>
      <c r="H14" s="37" t="inlineStr">
        <is>
          <t>SR-15; SR-28; SR-29; SR-30; SR-24; SR-25; AC-03; AC-07; SR-37; SR-45; SR-46; SaleServiceTest; SlotServiceTest; AbuseCaseRegressionTest;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I14" s="30" t="inlineStr">
        <is>
          <t>Automatically inferred as implemented or justified from passing tests, source code, configuration, or build artifacts.</t>
        </is>
      </c>
      <c r="J14" s="30" t="inlineStr">
        <is>
          <t>Automated repository evidence</t>
        </is>
      </c>
      <c r="K14" s="30" t="inlineStr">
        <is>
          <t>SaleServiceTest; SlotServiceTest; AbuseCaseRegressionTest; ControllerIntegrationTests; SystemFunctionalTests; ControllerUnitTests; GlobalExceptionHandlerTest; application.properties; AuthServiceTest; AuditLoggerTest; Bean Validation and request-shape controls detected; audit logging implementation detected; centralized safe error handling detected</t>
        </is>
      </c>
      <c r="L14" s="30" t="inlineStr">
        <is>
          <t>transaction and stock consistency; input shape/range validation; unknown-field rejection; payload/request limit coverage; server-side price enforcement; stock limit validation; client-supplied price abuse-case regression; TOCTOU/stock race abuse-case regression; authentication audit logging; sensitive log data checks; safe error response checks</t>
        </is>
      </c>
      <c r="M14" s="30" t="inlineStr">
        <is>
          <t>Keep make asvs-tracker passing; reassess if code, tests, or scope changes.</t>
        </is>
      </c>
    </row>
    <row r="15" ht="30" customHeight="1" s="26">
      <c r="A15" s="34" t="inlineStr">
        <is>
          <t>V2.3</t>
        </is>
      </c>
      <c r="B15" s="34" t="inlineStr">
        <is>
          <t>Business Logic Security</t>
        </is>
      </c>
      <c r="C15" s="34" t="inlineStr">
        <is>
          <t>V2.3.5</t>
        </is>
      </c>
      <c r="D15" s="34"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40" t="n">
        <v>3</v>
      </c>
      <c r="F15" s="36" t="inlineStr">
        <is>
          <t>Compliant</t>
        </is>
      </c>
      <c r="G15" s="34" t="inlineStr">
        <is>
          <t>Automatically marked compliant from passing evidence: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H15" s="34" t="inlineStr">
        <is>
          <t>SR-28; SR-29; SR-30; SR-15; SR-24; SR-25; AC-03; AC-07; SR-37; SR-45; SR-46; ControllerIntegrationTests; SystemFunctionalTests; ControllerUnitTests; GlobalExceptionHandlerTest; application.properties; SaleServiceTest; SlotServiceTest; AbuseCaseRegressionTest; AuthServiceTest; AuditLoggerTest; Bean Validation and request-shape controls detected; audit logging implementation detected; centralized safe error handling detected</t>
        </is>
      </c>
      <c r="I15" s="30" t="inlineStr">
        <is>
          <t>Automatically inferred as implemented or justified from passing tests, source code, configuration, or build artifacts.</t>
        </is>
      </c>
      <c r="J15" s="30" t="inlineStr">
        <is>
          <t>Automated repository evidence</t>
        </is>
      </c>
      <c r="K15" s="30" t="inlineStr">
        <is>
          <t>ControllerIntegrationTests; SystemFunctionalTests; ControllerUnitTests; GlobalExceptionHandlerTest; application.properties; SaleServiceTest; SlotServiceTest; AbuseCaseRegressionTest; AuthServiceTest; AuditLoggerTest; Bean Validation and request-shape controls detected; audit logging implementation detected; centralized safe error handling detected</t>
        </is>
      </c>
      <c r="L15" s="30" t="inlineStr">
        <is>
          <t>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M15" s="30" t="inlineStr">
        <is>
          <t>Keep make asvs-tracker passing; reassess if code, tests, or scope changes.</t>
        </is>
      </c>
    </row>
    <row r="16" ht="18" customHeight="1" s="26">
      <c r="A16" s="33" t="inlineStr">
        <is>
          <t>V2.4</t>
        </is>
      </c>
      <c r="B16" s="33" t="inlineStr">
        <is>
          <t>Anti-automation</t>
        </is>
      </c>
      <c r="C16" s="33" t="n"/>
      <c r="D16" s="33" t="n"/>
      <c r="E16" s="33" t="n"/>
      <c r="F16" s="33" t="n"/>
      <c r="G16" s="33" t="n"/>
      <c r="H16" s="33" t="n"/>
      <c r="I16" s="30" t="n"/>
      <c r="J16" s="30" t="n"/>
      <c r="K16" s="30" t="n"/>
      <c r="L16" s="30" t="n"/>
      <c r="M16" s="30" t="n"/>
    </row>
    <row r="17" ht="30" customHeight="1" s="26">
      <c r="A17" s="34" t="inlineStr">
        <is>
          <t>V2.4</t>
        </is>
      </c>
      <c r="B17" s="34" t="inlineStr">
        <is>
          <t>Anti-automation</t>
        </is>
      </c>
      <c r="C17" s="34" t="inlineStr">
        <is>
          <t>V2.4.1</t>
        </is>
      </c>
      <c r="D17" s="34"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35" t="n">
        <v>2</v>
      </c>
      <c r="F17" s="36" t="inlineStr">
        <is>
          <t>Compliant</t>
        </is>
      </c>
      <c r="G17" s="34" t="inlineStr">
        <is>
          <t>Automatically marked compliant from passing evidence: failed-login lockout behaviour; payload/request limit coverage; pagination/large-response controls; input shape/range validation; unknown-field rejection.</t>
        </is>
      </c>
      <c r="H17" s="34" t="inlineStr">
        <is>
          <t>SR-07; SR-30; SR-31; SR-28; SR-29; AuthServiceTest; AuthControllerIntegrationTest; SystemFunctionalTests; application.properties; ControllerIntegrationTests; ControllerUnitTests; GlobalExceptionHandlerTest; Bean Validation and request-shape controls detected</t>
        </is>
      </c>
      <c r="I17" s="30" t="inlineStr">
        <is>
          <t>Automatically inferred as implemented or justified from passing tests, source code, configuration, or build artifacts.</t>
        </is>
      </c>
      <c r="J17" s="30" t="inlineStr">
        <is>
          <t>Automated repository evidence</t>
        </is>
      </c>
      <c r="K17" s="30" t="inlineStr">
        <is>
          <t>AuthServiceTest; AuthControllerIntegrationTest; SystemFunctionalTests; application.properties; ControllerIntegrationTests; ControllerUnitTests; GlobalExceptionHandlerTest; Bean Validation and request-shape controls detected</t>
        </is>
      </c>
      <c r="L17" s="30" t="inlineStr">
        <is>
          <t>failed-login lockout behaviour; payload/request limit coverage; pagination/large-response controls; input shape/range validation; unknown-field rejection</t>
        </is>
      </c>
      <c r="M17" s="30" t="inlineStr">
        <is>
          <t>Keep make asvs-tracker passing; reassess if code, tests, or scope changes.</t>
        </is>
      </c>
    </row>
    <row r="18" ht="30" customHeight="1" s="26">
      <c r="A18" s="37" t="inlineStr">
        <is>
          <t>V2.4</t>
        </is>
      </c>
      <c r="B18" s="37" t="inlineStr">
        <is>
          <t>Anti-automation</t>
        </is>
      </c>
      <c r="C18" s="37" t="inlineStr">
        <is>
          <t>V2.4.2</t>
        </is>
      </c>
      <c r="D18" s="37" t="inlineStr">
        <is>
          <t>Verify that business logic flows require realistic human timing, preventing excessively rapid transaction submissions.</t>
        </is>
      </c>
      <c r="E18" s="40" t="n">
        <v>3</v>
      </c>
      <c r="F18" s="36" t="inlineStr">
        <is>
          <t>Compliant</t>
        </is>
      </c>
      <c r="G18" s="37" t="inlineStr">
        <is>
          <t>Automatically marked compliant from passing evidence: administrator MFA; user data access isolation;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H18" s="37" t="inlineStr">
        <is>
          <t>SR-01; SR-08; SR-28; SR-29; SR-30; SR-15; SR-24; SR-25; AC-03; AC-07; SR-37; SR-45; SR-46; AuthServiceTest; AuthControllerIntegrationTest; RbacIntegrationTest; SystemFunctionalTests; ControllerIntegrationTests; ControllerUnitTests; GlobalExceptionHandlerTest; application.properties; SaleServiceTest; SlotServiceTest; AbuseCaseRegressionTest; AuditLoggerTest; MFA/TOTP code and tests detected; Spring method security and RBAC annotations detected; Bean Validation and request-shape controls detected; audit logging implementation detected; centralized safe error handling detected</t>
        </is>
      </c>
      <c r="I18" s="30" t="inlineStr">
        <is>
          <t>Automatically inferred as implemented or justified from passing tests, source code, configuration, or build artifacts.</t>
        </is>
      </c>
      <c r="J18" s="30" t="inlineStr">
        <is>
          <t>Automated repository evidence</t>
        </is>
      </c>
      <c r="K18" s="30" t="inlineStr">
        <is>
          <t>AuthServiceTest; AuthControllerIntegrationTest; RbacIntegrationTest; SystemFunctionalTests; ControllerIntegrationTests; ControllerUnitTests; GlobalExceptionHandlerTest; application.properties; SaleServiceTest; SlotServiceTest; AbuseCaseRegressionTest; AuditLoggerTest; MFA/TOTP code and tests detected; Spring method security and RBAC annotations detected; Bean Validation and request-shape controls detected; audit logging implementation detected; centralized safe error handling detected</t>
        </is>
      </c>
      <c r="L18" s="30" t="inlineStr">
        <is>
          <t>administrator MFA; user data access isolation;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 safe error response checks</t>
        </is>
      </c>
      <c r="M18" s="30" t="inlineStr">
        <is>
          <t>Keep make asvs-tracker passing; reassess if code, tests, or scope changes.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5.xml><?xml version="1.0" encoding="utf-8"?>
<worksheet xmlns="http://schemas.openxmlformats.org/spreadsheetml/2006/main">
  <sheetPr>
    <outlinePr summaryBelow="1" summaryRight="1"/>
    <pageSetUpPr/>
  </sheetPr>
  <dimension ref="A1:M39"/>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V3.1</t>
        </is>
      </c>
      <c r="B2" s="33" t="inlineStr">
        <is>
          <t>Web Frontend Security Documentation</t>
        </is>
      </c>
      <c r="C2" s="33" t="n"/>
      <c r="D2" s="33" t="n"/>
      <c r="E2" s="33" t="n"/>
      <c r="F2" s="33" t="n"/>
      <c r="G2" s="33" t="n"/>
      <c r="H2" s="33" t="n"/>
      <c r="I2" s="30" t="n"/>
      <c r="J2" s="30" t="n"/>
      <c r="K2" s="30" t="n"/>
      <c r="L2" s="30" t="n"/>
      <c r="M2" s="30" t="n"/>
    </row>
    <row r="3" ht="30" customHeight="1" s="26">
      <c r="A3" s="34" t="inlineStr">
        <is>
          <t>V3.1</t>
        </is>
      </c>
      <c r="B3" s="34" t="inlineStr">
        <is>
          <t>Web Frontend Security Documentation</t>
        </is>
      </c>
      <c r="C3" s="34" t="inlineStr">
        <is>
          <t>V3.1.1</t>
        </is>
      </c>
      <c r="D3" s="34"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40" t="n">
        <v>3</v>
      </c>
      <c r="F3" s="39" t="inlineStr">
        <is>
          <t>N/A</t>
        </is>
      </c>
      <c r="G3" s="34" t="inlineStr">
        <is>
          <t>Automatically marked out of scope: VendNet is a Spring REST API/backend in this repository; no browser frontend or DOM-rendering surface is present.</t>
        </is>
      </c>
      <c r="H3" s="34" t="inlineStr">
        <is>
          <t>Automated scope inference</t>
        </is>
      </c>
      <c r="I3" s="30" t="inlineStr">
        <is>
          <t>Out of scope for VendNet as currently implemented, or the requirement does not apply to this REST API/backend.</t>
        </is>
      </c>
      <c r="J3" s="30" t="inlineStr">
        <is>
          <t>Scope inference</t>
        </is>
      </c>
      <c r="K3" s="30" t="inlineStr">
        <is>
          <t>Not required for current backend scope.</t>
        </is>
      </c>
      <c r="L3" s="30" t="inlineStr">
        <is>
          <t>VendNet is a Spring REST API/backend in this repository; no browser frontend or DOM-rendering surface is present.</t>
        </is>
      </c>
      <c r="M3" s="30" t="inlineStr">
        <is>
          <t>Revisit if the application scope changes.</t>
        </is>
      </c>
    </row>
    <row r="4" ht="18" customHeight="1" s="26">
      <c r="A4" s="33" t="inlineStr">
        <is>
          <t>V3.2</t>
        </is>
      </c>
      <c r="B4" s="33" t="inlineStr">
        <is>
          <t>Unintended Content Interpretation</t>
        </is>
      </c>
      <c r="C4" s="33" t="n"/>
      <c r="D4" s="33" t="n"/>
      <c r="E4" s="33" t="n"/>
      <c r="F4" s="33" t="n"/>
      <c r="G4" s="33" t="n"/>
      <c r="H4" s="33" t="n"/>
      <c r="I4" s="30" t="n"/>
      <c r="J4" s="30" t="n"/>
      <c r="K4" s="30" t="n"/>
      <c r="L4" s="30" t="n"/>
      <c r="M4" s="30" t="n"/>
    </row>
    <row r="5" ht="30" customHeight="1" s="26">
      <c r="A5" s="34" t="inlineStr">
        <is>
          <t>V3.2</t>
        </is>
      </c>
      <c r="B5" s="34" t="inlineStr">
        <is>
          <t>Unintended Content Interpretation</t>
        </is>
      </c>
      <c r="C5" s="34" t="inlineStr">
        <is>
          <t>V3.2.1</t>
        </is>
      </c>
      <c r="D5" s="34"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38" t="n">
        <v>1</v>
      </c>
      <c r="F5" s="39" t="inlineStr">
        <is>
          <t>N/A</t>
        </is>
      </c>
      <c r="G5" s="34" t="inlineStr">
        <is>
          <t>Automatically marked out of scope: VendNet is a Spring REST API/backend in this repository; no browser frontend or DOM-rendering surface is present.</t>
        </is>
      </c>
      <c r="H5" s="34" t="inlineStr">
        <is>
          <t>Automated scope inference</t>
        </is>
      </c>
      <c r="I5" s="30" t="inlineStr">
        <is>
          <t>Out of scope for VendNet as currently implemented, or the requirement does not apply to this REST API/backend.</t>
        </is>
      </c>
      <c r="J5" s="30" t="inlineStr">
        <is>
          <t>Scope inference</t>
        </is>
      </c>
      <c r="K5" s="30" t="inlineStr">
        <is>
          <t>Not required for current backend scope.</t>
        </is>
      </c>
      <c r="L5" s="30" t="inlineStr">
        <is>
          <t>VendNet is a Spring REST API/backend in this repository; no browser frontend or DOM-rendering surface is present.</t>
        </is>
      </c>
      <c r="M5" s="30" t="inlineStr">
        <is>
          <t>Revisit if the application scope changes.</t>
        </is>
      </c>
    </row>
    <row r="6" ht="30" customHeight="1" s="26">
      <c r="A6" s="37" t="inlineStr">
        <is>
          <t>V3.2</t>
        </is>
      </c>
      <c r="B6" s="37" t="inlineStr">
        <is>
          <t>Unintended Content Interpretation</t>
        </is>
      </c>
      <c r="C6" s="37" t="inlineStr">
        <is>
          <t>V3.2.2</t>
        </is>
      </c>
      <c r="D6" s="37" t="inlineStr">
        <is>
          <t>Verify that content intended to be displayed as text, rather than rendered as HTML, is handled using safe rendering functions (such as createTextNode or textContent) to prevent unintended execution of content such as HTML or JavaScript.</t>
        </is>
      </c>
      <c r="E6" s="38" t="n">
        <v>1</v>
      </c>
      <c r="F6" s="39" t="inlineStr">
        <is>
          <t>N/A</t>
        </is>
      </c>
      <c r="G6" s="37" t="inlineStr">
        <is>
          <t>Automatically marked out of scope: VendNet is a Spring REST API/backend in this repository; no browser frontend or DOM-rendering surface is present.</t>
        </is>
      </c>
      <c r="H6" s="37" t="inlineStr">
        <is>
          <t>Automated scope inference</t>
        </is>
      </c>
      <c r="I6" s="30" t="inlineStr">
        <is>
          <t>Out of scope for VendNet as currently implemented, or the requirement does not apply to this REST API/backend.</t>
        </is>
      </c>
      <c r="J6" s="30" t="inlineStr">
        <is>
          <t>Scope inference</t>
        </is>
      </c>
      <c r="K6" s="30" t="inlineStr">
        <is>
          <t>Not required for current backend scope.</t>
        </is>
      </c>
      <c r="L6" s="30" t="inlineStr">
        <is>
          <t>VendNet is a Spring REST API/backend in this repository; no browser frontend or DOM-rendering surface is present.</t>
        </is>
      </c>
      <c r="M6" s="30" t="inlineStr">
        <is>
          <t>Revisit if the application scope changes.</t>
        </is>
      </c>
    </row>
    <row r="7" ht="30" customHeight="1" s="26">
      <c r="A7" s="34" t="inlineStr">
        <is>
          <t>V3.2</t>
        </is>
      </c>
      <c r="B7" s="34" t="inlineStr">
        <is>
          <t>Unintended Content Interpretation</t>
        </is>
      </c>
      <c r="C7" s="34" t="inlineStr">
        <is>
          <t>V3.2.3</t>
        </is>
      </c>
      <c r="D7" s="34"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40" t="n">
        <v>3</v>
      </c>
      <c r="F7" s="39" t="inlineStr">
        <is>
          <t>N/A</t>
        </is>
      </c>
      <c r="G7" s="34" t="inlineStr">
        <is>
          <t>Automatically marked out of scope: VendNet is a Spring REST API/backend in this repository; no browser frontend or DOM-rendering surface is present.</t>
        </is>
      </c>
      <c r="H7" s="34" t="inlineStr">
        <is>
          <t>Automated scope inference</t>
        </is>
      </c>
      <c r="I7" s="30" t="inlineStr">
        <is>
          <t>Out of scope for VendNet as currently implemented, or the requirement does not apply to this REST API/backend.</t>
        </is>
      </c>
      <c r="J7" s="30" t="inlineStr">
        <is>
          <t>Scope inference</t>
        </is>
      </c>
      <c r="K7" s="30" t="inlineStr">
        <is>
          <t>Not required for current backend scope.</t>
        </is>
      </c>
      <c r="L7" s="30" t="inlineStr">
        <is>
          <t>VendNet is a Spring REST API/backend in this repository; no browser frontend or DOM-rendering surface is present.</t>
        </is>
      </c>
      <c r="M7" s="30" t="inlineStr">
        <is>
          <t>Revisit if the application scope changes.</t>
        </is>
      </c>
    </row>
    <row r="8" ht="18" customHeight="1" s="26">
      <c r="A8" s="33" t="inlineStr">
        <is>
          <t>V3.3</t>
        </is>
      </c>
      <c r="B8" s="33" t="inlineStr">
        <is>
          <t>Cookie Setup</t>
        </is>
      </c>
      <c r="C8" s="33" t="n"/>
      <c r="D8" s="33" t="n"/>
      <c r="E8" s="33" t="n"/>
      <c r="F8" s="33" t="n"/>
      <c r="G8" s="33" t="n"/>
      <c r="H8" s="33" t="n"/>
      <c r="I8" s="30" t="n"/>
      <c r="J8" s="30" t="n"/>
      <c r="K8" s="30" t="n"/>
      <c r="L8" s="30" t="n"/>
      <c r="M8" s="30" t="n"/>
    </row>
    <row r="9" ht="30" customHeight="1" s="26">
      <c r="A9" s="34" t="inlineStr">
        <is>
          <t>V3.3</t>
        </is>
      </c>
      <c r="B9" s="34" t="inlineStr">
        <is>
          <t>Cookie Setup</t>
        </is>
      </c>
      <c r="C9" s="34" t="inlineStr">
        <is>
          <t>V3.3.1</t>
        </is>
      </c>
      <c r="D9" s="34" t="inlineStr">
        <is>
          <t>Verify that cookies have the 'Secure' attribute set, and if the '\__Host-' prefix is not used for the cookie name, the '__Secure-' prefix must be used for the cookie name.</t>
        </is>
      </c>
      <c r="E9" s="38" t="n">
        <v>1</v>
      </c>
      <c r="F9" s="39" t="inlineStr">
        <is>
          <t>N/A</t>
        </is>
      </c>
      <c r="G9" s="34" t="inlineStr">
        <is>
          <t>Automatically marked out of scope: VendNet is a Spring REST API/backend in this repository; no browser frontend or DOM-rendering surface is present.</t>
        </is>
      </c>
      <c r="H9" s="34" t="inlineStr">
        <is>
          <t>Automated scope inference</t>
        </is>
      </c>
      <c r="I9" s="30" t="inlineStr">
        <is>
          <t>Out of scope for VendNet as currently implemented, or the requirement does not apply to this REST API/backend.</t>
        </is>
      </c>
      <c r="J9" s="30" t="inlineStr">
        <is>
          <t>Scope inference</t>
        </is>
      </c>
      <c r="K9" s="30" t="inlineStr">
        <is>
          <t>Not required for current backend scope.</t>
        </is>
      </c>
      <c r="L9" s="30" t="inlineStr">
        <is>
          <t>VendNet is a Spring REST API/backend in this repository; no browser frontend or DOM-rendering surface is present.</t>
        </is>
      </c>
      <c r="M9" s="30" t="inlineStr">
        <is>
          <t>Revisit if the application scope changes.</t>
        </is>
      </c>
    </row>
    <row r="10" ht="30" customHeight="1" s="26">
      <c r="A10" s="37" t="inlineStr">
        <is>
          <t>V3.3</t>
        </is>
      </c>
      <c r="B10" s="37" t="inlineStr">
        <is>
          <t>Cookie Setup</t>
        </is>
      </c>
      <c r="C10" s="37" t="inlineStr">
        <is>
          <t>V3.3.2</t>
        </is>
      </c>
      <c r="D10" s="37" t="inlineStr">
        <is>
          <t>Verify that each cookie's 'SameSite' attribute value is set according to the purpose of the cookie, to limit exposure to user interface redress attacks and browser-based request forgery attacks, commonly known as cross-site request forgery (CSRF).</t>
        </is>
      </c>
      <c r="E10" s="35" t="n">
        <v>2</v>
      </c>
      <c r="F10" s="39" t="inlineStr">
        <is>
          <t>N/A</t>
        </is>
      </c>
      <c r="G10" s="37" t="inlineStr">
        <is>
          <t>Automatically marked out of scope: VendNet is a Spring REST API/backend in this repository; no browser frontend or DOM-rendering surface is present.</t>
        </is>
      </c>
      <c r="H10" s="37" t="inlineStr">
        <is>
          <t>Automated scope inference</t>
        </is>
      </c>
      <c r="I10" s="30" t="inlineStr">
        <is>
          <t>Out of scope for VendNet as currently implemented, or the requirement does not apply to this REST API/backend.</t>
        </is>
      </c>
      <c r="J10" s="30" t="inlineStr">
        <is>
          <t>Scope inference</t>
        </is>
      </c>
      <c r="K10" s="30" t="inlineStr">
        <is>
          <t>Not required for current backend scope.</t>
        </is>
      </c>
      <c r="L10" s="30" t="inlineStr">
        <is>
          <t>VendNet is a Spring REST API/backend in this repository; no browser frontend or DOM-rendering surface is present.</t>
        </is>
      </c>
      <c r="M10" s="30" t="inlineStr">
        <is>
          <t>Revisit if the application scope changes.</t>
        </is>
      </c>
    </row>
    <row r="11" ht="30" customHeight="1" s="26">
      <c r="A11" s="34" t="inlineStr">
        <is>
          <t>V3.3</t>
        </is>
      </c>
      <c r="B11" s="34" t="inlineStr">
        <is>
          <t>Cookie Setup</t>
        </is>
      </c>
      <c r="C11" s="34" t="inlineStr">
        <is>
          <t>V3.3.3</t>
        </is>
      </c>
      <c r="D11" s="34" t="inlineStr">
        <is>
          <t>Verify that cookies have the '__Host-' prefix for the cookie name unless they are explicitly designed to be shared with other hosts.</t>
        </is>
      </c>
      <c r="E11" s="35" t="n">
        <v>2</v>
      </c>
      <c r="F11" s="39" t="inlineStr">
        <is>
          <t>N/A</t>
        </is>
      </c>
      <c r="G11" s="34" t="inlineStr">
        <is>
          <t>Automatically marked out of scope: VendNet is a Spring REST API/backend in this repository; no browser frontend or DOM-rendering surface is present.</t>
        </is>
      </c>
      <c r="H11" s="34" t="inlineStr">
        <is>
          <t>Automated scope inference</t>
        </is>
      </c>
      <c r="I11" s="30" t="inlineStr">
        <is>
          <t>Out of scope for VendNet as currently implemented, or the requirement does not apply to this REST API/backend.</t>
        </is>
      </c>
      <c r="J11" s="30" t="inlineStr">
        <is>
          <t>Scope inference</t>
        </is>
      </c>
      <c r="K11" s="30" t="inlineStr">
        <is>
          <t>Not required for current backend scope.</t>
        </is>
      </c>
      <c r="L11" s="30" t="inlineStr">
        <is>
          <t>VendNet is a Spring REST API/backend in this repository; no browser frontend or DOM-rendering surface is present.</t>
        </is>
      </c>
      <c r="M11" s="30" t="inlineStr">
        <is>
          <t>Revisit if the application scope changes.</t>
        </is>
      </c>
    </row>
    <row r="12" ht="30" customHeight="1" s="26">
      <c r="A12" s="37" t="inlineStr">
        <is>
          <t>V3.3</t>
        </is>
      </c>
      <c r="B12" s="37" t="inlineStr">
        <is>
          <t>Cookie Setup</t>
        </is>
      </c>
      <c r="C12" s="37" t="inlineStr">
        <is>
          <t>V3.3.4</t>
        </is>
      </c>
      <c r="D12" s="37"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35" t="n">
        <v>2</v>
      </c>
      <c r="F12" s="39" t="inlineStr">
        <is>
          <t>N/A</t>
        </is>
      </c>
      <c r="G12" s="37" t="inlineStr">
        <is>
          <t>Automatically marked out of scope: VendNet is a Spring REST API/backend in this repository; no browser frontend or DOM-rendering surface is present.</t>
        </is>
      </c>
      <c r="H12" s="37" t="inlineStr">
        <is>
          <t>Automated scope inference</t>
        </is>
      </c>
      <c r="I12" s="30" t="inlineStr">
        <is>
          <t>Out of scope for VendNet as currently implemented, or the requirement does not apply to this REST API/backend.</t>
        </is>
      </c>
      <c r="J12" s="30" t="inlineStr">
        <is>
          <t>Scope inference</t>
        </is>
      </c>
      <c r="K12" s="30" t="inlineStr">
        <is>
          <t>Not required for current backend scope.</t>
        </is>
      </c>
      <c r="L12" s="30" t="inlineStr">
        <is>
          <t>VendNet is a Spring REST API/backend in this repository; no browser frontend or DOM-rendering surface is present.</t>
        </is>
      </c>
      <c r="M12" s="30" t="inlineStr">
        <is>
          <t>Revisit if the application scope changes.</t>
        </is>
      </c>
    </row>
    <row r="13" ht="30" customHeight="1" s="26">
      <c r="A13" s="34" t="inlineStr">
        <is>
          <t>V3.3</t>
        </is>
      </c>
      <c r="B13" s="34" t="inlineStr">
        <is>
          <t>Cookie Setup</t>
        </is>
      </c>
      <c r="C13" s="34" t="inlineStr">
        <is>
          <t>V3.3.5</t>
        </is>
      </c>
      <c r="D13" s="34"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40" t="n">
        <v>3</v>
      </c>
      <c r="F13" s="39" t="inlineStr">
        <is>
          <t>N/A</t>
        </is>
      </c>
      <c r="G13" s="34" t="inlineStr">
        <is>
          <t>Automatically marked out of scope: VendNet is a Spring REST API/backend in this repository; no browser frontend or DOM-rendering surface is present.</t>
        </is>
      </c>
      <c r="H13" s="34" t="inlineStr">
        <is>
          <t>Automated scope inference</t>
        </is>
      </c>
      <c r="I13" s="30" t="inlineStr">
        <is>
          <t>Out of scope for VendNet as currently implemented, or the requirement does not apply to this REST API/backend.</t>
        </is>
      </c>
      <c r="J13" s="30" t="inlineStr">
        <is>
          <t>Scope inference</t>
        </is>
      </c>
      <c r="K13" s="30" t="inlineStr">
        <is>
          <t>Not required for current backend scope.</t>
        </is>
      </c>
      <c r="L13" s="30" t="inlineStr">
        <is>
          <t>VendNet is a Spring REST API/backend in this repository; no browser frontend or DOM-rendering surface is present.</t>
        </is>
      </c>
      <c r="M13" s="30" t="inlineStr">
        <is>
          <t>Revisit if the application scope changes.</t>
        </is>
      </c>
    </row>
    <row r="14" ht="18" customHeight="1" s="26">
      <c r="A14" s="33" t="inlineStr">
        <is>
          <t>V3.4</t>
        </is>
      </c>
      <c r="B14" s="33" t="inlineStr">
        <is>
          <t>Browser Security Mechanism Headers</t>
        </is>
      </c>
      <c r="C14" s="33" t="n"/>
      <c r="D14" s="33" t="n"/>
      <c r="E14" s="33" t="n"/>
      <c r="F14" s="33" t="n"/>
      <c r="G14" s="33" t="n"/>
      <c r="H14" s="33" t="n"/>
      <c r="I14" s="30" t="n"/>
      <c r="J14" s="30" t="n"/>
      <c r="K14" s="30" t="n"/>
      <c r="L14" s="30" t="n"/>
      <c r="M14" s="30" t="n"/>
    </row>
    <row r="15" ht="30" customHeight="1" s="26">
      <c r="A15" s="34" t="inlineStr">
        <is>
          <t>V3.4</t>
        </is>
      </c>
      <c r="B15" s="34" t="inlineStr">
        <is>
          <t>Browser Security Mechanism Headers</t>
        </is>
      </c>
      <c r="C15" s="34" t="inlineStr">
        <is>
          <t>V3.4.1</t>
        </is>
      </c>
      <c r="D15" s="34"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38" t="n">
        <v>1</v>
      </c>
      <c r="F15" s="39" t="inlineStr">
        <is>
          <t>N/A</t>
        </is>
      </c>
      <c r="G15" s="34" t="inlineStr">
        <is>
          <t>Automatically marked out of scope: VendNet is a Spring REST API/backend in this repository; no browser frontend or DOM-rendering surface is present.</t>
        </is>
      </c>
      <c r="H15" s="34" t="inlineStr">
        <is>
          <t>Automated scope inference</t>
        </is>
      </c>
      <c r="I15" s="30" t="inlineStr">
        <is>
          <t>Out of scope for VendNet as currently implemented, or the requirement does not apply to this REST API/backend.</t>
        </is>
      </c>
      <c r="J15" s="30" t="inlineStr">
        <is>
          <t>Scope inference</t>
        </is>
      </c>
      <c r="K15" s="30" t="inlineStr">
        <is>
          <t>Not required for current backend scope.</t>
        </is>
      </c>
      <c r="L15" s="30" t="inlineStr">
        <is>
          <t>VendNet is a Spring REST API/backend in this repository; no browser frontend or DOM-rendering surface is present.</t>
        </is>
      </c>
      <c r="M15" s="30" t="inlineStr">
        <is>
          <t>Revisit if the application scope changes.</t>
        </is>
      </c>
    </row>
    <row r="16" ht="30" customHeight="1" s="26">
      <c r="A16" s="37" t="inlineStr">
        <is>
          <t>V3.4</t>
        </is>
      </c>
      <c r="B16" s="37" t="inlineStr">
        <is>
          <t>Browser Security Mechanism Headers</t>
        </is>
      </c>
      <c r="C16" s="37" t="inlineStr">
        <is>
          <t>V3.4.2</t>
        </is>
      </c>
      <c r="D16" s="37"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38" t="n">
        <v>1</v>
      </c>
      <c r="F16" s="39" t="inlineStr">
        <is>
          <t>N/A</t>
        </is>
      </c>
      <c r="G16" s="37" t="inlineStr">
        <is>
          <t>Automatically marked out of scope: VendNet is a Spring REST API/backend in this repository; no browser frontend or DOM-rendering surface is present.</t>
        </is>
      </c>
      <c r="H16" s="37" t="inlineStr">
        <is>
          <t>Automated scope inference</t>
        </is>
      </c>
      <c r="I16" s="30" t="inlineStr">
        <is>
          <t>Out of scope for VendNet as currently implemented, or the requirement does not apply to this REST API/backend.</t>
        </is>
      </c>
      <c r="J16" s="30" t="inlineStr">
        <is>
          <t>Scope inference</t>
        </is>
      </c>
      <c r="K16" s="30" t="inlineStr">
        <is>
          <t>Not required for current backend scope.</t>
        </is>
      </c>
      <c r="L16" s="30" t="inlineStr">
        <is>
          <t>VendNet is a Spring REST API/backend in this repository; no browser frontend or DOM-rendering surface is present.</t>
        </is>
      </c>
      <c r="M16" s="30" t="inlineStr">
        <is>
          <t>Revisit if the application scope changes.</t>
        </is>
      </c>
    </row>
    <row r="17" ht="30" customHeight="1" s="26">
      <c r="A17" s="34" t="inlineStr">
        <is>
          <t>V3.4</t>
        </is>
      </c>
      <c r="B17" s="34" t="inlineStr">
        <is>
          <t>Browser Security Mechanism Headers</t>
        </is>
      </c>
      <c r="C17" s="34" t="inlineStr">
        <is>
          <t>V3.4.3</t>
        </is>
      </c>
      <c r="D17" s="34"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35" t="n">
        <v>2</v>
      </c>
      <c r="F17" s="39" t="inlineStr">
        <is>
          <t>N/A</t>
        </is>
      </c>
      <c r="G17" s="34" t="inlineStr">
        <is>
          <t>Automatically marked out of scope: VendNet is a Spring REST API/backend in this repository; no browser frontend or DOM-rendering surface is present.</t>
        </is>
      </c>
      <c r="H17" s="34" t="inlineStr">
        <is>
          <t>Automated scope inference</t>
        </is>
      </c>
      <c r="I17" s="30" t="inlineStr">
        <is>
          <t>Out of scope for VendNet as currently implemented, or the requirement does not apply to this REST API/backend.</t>
        </is>
      </c>
      <c r="J17" s="30" t="inlineStr">
        <is>
          <t>Scope inference</t>
        </is>
      </c>
      <c r="K17" s="30" t="inlineStr">
        <is>
          <t>Not required for current backend scope.</t>
        </is>
      </c>
      <c r="L17" s="30" t="inlineStr">
        <is>
          <t>VendNet is a Spring REST API/backend in this repository; no browser frontend or DOM-rendering surface is present.</t>
        </is>
      </c>
      <c r="M17" s="30" t="inlineStr">
        <is>
          <t>Revisit if the application scope changes.</t>
        </is>
      </c>
    </row>
    <row r="18" ht="30" customHeight="1" s="26">
      <c r="A18" s="37" t="inlineStr">
        <is>
          <t>V3.4</t>
        </is>
      </c>
      <c r="B18" s="37" t="inlineStr">
        <is>
          <t>Browser Security Mechanism Headers</t>
        </is>
      </c>
      <c r="C18" s="37" t="inlineStr">
        <is>
          <t>V3.4.4</t>
        </is>
      </c>
      <c r="D18" s="37"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35" t="n">
        <v>2</v>
      </c>
      <c r="F18" s="39" t="inlineStr">
        <is>
          <t>N/A</t>
        </is>
      </c>
      <c r="G18" s="37" t="inlineStr">
        <is>
          <t>Automatically marked out of scope: VendNet is a Spring REST API/backend in this repository; no browser frontend or DOM-rendering surface is present.</t>
        </is>
      </c>
      <c r="H18" s="37" t="inlineStr">
        <is>
          <t>Automated scope inference</t>
        </is>
      </c>
      <c r="I18" s="30" t="inlineStr">
        <is>
          <t>Out of scope for VendNet as currently implemented, or the requirement does not apply to this REST API/backend.</t>
        </is>
      </c>
      <c r="J18" s="30" t="inlineStr">
        <is>
          <t>Scope inference</t>
        </is>
      </c>
      <c r="K18" s="30" t="inlineStr">
        <is>
          <t>Not required for current backend scope.</t>
        </is>
      </c>
      <c r="L18" s="30" t="inlineStr">
        <is>
          <t>VendNet is a Spring REST API/backend in this repository; no browser frontend or DOM-rendering surface is present.</t>
        </is>
      </c>
      <c r="M18" s="30" t="inlineStr">
        <is>
          <t>Revisit if the application scope changes.</t>
        </is>
      </c>
    </row>
    <row r="19" ht="30" customHeight="1" s="26">
      <c r="A19" s="34" t="inlineStr">
        <is>
          <t>V3.4</t>
        </is>
      </c>
      <c r="B19" s="34" t="inlineStr">
        <is>
          <t>Browser Security Mechanism Headers</t>
        </is>
      </c>
      <c r="C19" s="34" t="inlineStr">
        <is>
          <t>V3.4.5</t>
        </is>
      </c>
      <c r="D19" s="34"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35" t="n">
        <v>2</v>
      </c>
      <c r="F19" s="39" t="inlineStr">
        <is>
          <t>N/A</t>
        </is>
      </c>
      <c r="G19" s="34" t="inlineStr">
        <is>
          <t>Automatically marked out of scope: VendNet is a Spring REST API/backend in this repository; no browser frontend or DOM-rendering surface is present.</t>
        </is>
      </c>
      <c r="H19" s="34" t="inlineStr">
        <is>
          <t>Automated scope inference</t>
        </is>
      </c>
      <c r="I19" s="30" t="inlineStr">
        <is>
          <t>Out of scope for VendNet as currently implemented, or the requirement does not apply to this REST API/backend.</t>
        </is>
      </c>
      <c r="J19" s="30" t="inlineStr">
        <is>
          <t>Scope inference</t>
        </is>
      </c>
      <c r="K19" s="30" t="inlineStr">
        <is>
          <t>Not required for current backend scope.</t>
        </is>
      </c>
      <c r="L19" s="30" t="inlineStr">
        <is>
          <t>VendNet is a Spring REST API/backend in this repository; no browser frontend or DOM-rendering surface is present.</t>
        </is>
      </c>
      <c r="M19" s="30" t="inlineStr">
        <is>
          <t>Revisit if the application scope changes.</t>
        </is>
      </c>
    </row>
    <row r="20" ht="30" customHeight="1" s="26">
      <c r="A20" s="37" t="inlineStr">
        <is>
          <t>V3.4</t>
        </is>
      </c>
      <c r="B20" s="37" t="inlineStr">
        <is>
          <t>Browser Security Mechanism Headers</t>
        </is>
      </c>
      <c r="C20" s="37" t="inlineStr">
        <is>
          <t>V3.4.6</t>
        </is>
      </c>
      <c r="D20" s="37"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35" t="n">
        <v>2</v>
      </c>
      <c r="F20" s="39" t="inlineStr">
        <is>
          <t>N/A</t>
        </is>
      </c>
      <c r="G20" s="37" t="inlineStr">
        <is>
          <t>Automatically marked out of scope: VendNet is a Spring REST API/backend in this repository; no browser frontend or DOM-rendering surface is present.</t>
        </is>
      </c>
      <c r="H20" s="37" t="inlineStr">
        <is>
          <t>Automated scope inference</t>
        </is>
      </c>
      <c r="I20" s="30" t="inlineStr">
        <is>
          <t>Out of scope for VendNet as currently implemented, or the requirement does not apply to this REST API/backend.</t>
        </is>
      </c>
      <c r="J20" s="30" t="inlineStr">
        <is>
          <t>Scope inference</t>
        </is>
      </c>
      <c r="K20" s="30" t="inlineStr">
        <is>
          <t>Not required for current backend scope.</t>
        </is>
      </c>
      <c r="L20" s="30" t="inlineStr">
        <is>
          <t>VendNet is a Spring REST API/backend in this repository; no browser frontend or DOM-rendering surface is present.</t>
        </is>
      </c>
      <c r="M20" s="30" t="inlineStr">
        <is>
          <t>Revisit if the application scope changes.</t>
        </is>
      </c>
    </row>
    <row r="21" ht="30" customHeight="1" s="26">
      <c r="A21" s="34" t="inlineStr">
        <is>
          <t>V3.4</t>
        </is>
      </c>
      <c r="B21" s="34" t="inlineStr">
        <is>
          <t>Browser Security Mechanism Headers</t>
        </is>
      </c>
      <c r="C21" s="34" t="inlineStr">
        <is>
          <t>V3.4.7</t>
        </is>
      </c>
      <c r="D21" s="34" t="inlineStr">
        <is>
          <t>Verify that the Content-Security-Policy header field specifies a location to report violations.</t>
        </is>
      </c>
      <c r="E21" s="40" t="n">
        <v>3</v>
      </c>
      <c r="F21" s="39" t="inlineStr">
        <is>
          <t>N/A</t>
        </is>
      </c>
      <c r="G21" s="34" t="inlineStr">
        <is>
          <t>Automatically marked out of scope: VendNet is a Spring REST API/backend in this repository; no browser frontend or DOM-rendering surface is present.</t>
        </is>
      </c>
      <c r="H21" s="34" t="inlineStr">
        <is>
          <t>Automated scope inference</t>
        </is>
      </c>
      <c r="I21" s="30" t="inlineStr">
        <is>
          <t>Out of scope for VendNet as currently implemented, or the requirement does not apply to this REST API/backend.</t>
        </is>
      </c>
      <c r="J21" s="30" t="inlineStr">
        <is>
          <t>Scope inference</t>
        </is>
      </c>
      <c r="K21" s="30" t="inlineStr">
        <is>
          <t>Not required for current backend scope.</t>
        </is>
      </c>
      <c r="L21" s="30" t="inlineStr">
        <is>
          <t>VendNet is a Spring REST API/backend in this repository; no browser frontend or DOM-rendering surface is present.</t>
        </is>
      </c>
      <c r="M21" s="30" t="inlineStr">
        <is>
          <t>Revisit if the application scope changes.</t>
        </is>
      </c>
    </row>
    <row r="22" ht="30" customHeight="1" s="26">
      <c r="A22" s="37" t="inlineStr">
        <is>
          <t>V3.4</t>
        </is>
      </c>
      <c r="B22" s="37" t="inlineStr">
        <is>
          <t>Browser Security Mechanism Headers</t>
        </is>
      </c>
      <c r="C22" s="37" t="inlineStr">
        <is>
          <t>V3.4.8</t>
        </is>
      </c>
      <c r="D22" s="37"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40" t="n">
        <v>3</v>
      </c>
      <c r="F22" s="39" t="inlineStr">
        <is>
          <t>N/A</t>
        </is>
      </c>
      <c r="G22" s="37" t="inlineStr">
        <is>
          <t>Automatically marked out of scope: VendNet is a Spring REST API/backend in this repository; no browser frontend or DOM-rendering surface is present.</t>
        </is>
      </c>
      <c r="H22" s="37" t="inlineStr">
        <is>
          <t>Automated scope inference</t>
        </is>
      </c>
      <c r="I22" s="30" t="inlineStr">
        <is>
          <t>Out of scope for VendNet as currently implemented, or the requirement does not apply to this REST API/backend.</t>
        </is>
      </c>
      <c r="J22" s="30" t="inlineStr">
        <is>
          <t>Scope inference</t>
        </is>
      </c>
      <c r="K22" s="30" t="inlineStr">
        <is>
          <t>Not required for current backend scope.</t>
        </is>
      </c>
      <c r="L22" s="30" t="inlineStr">
        <is>
          <t>VendNet is a Spring REST API/backend in this repository; no browser frontend or DOM-rendering surface is present.</t>
        </is>
      </c>
      <c r="M22" s="30" t="inlineStr">
        <is>
          <t>Revisit if the application scope changes.</t>
        </is>
      </c>
    </row>
    <row r="23" ht="18" customHeight="1" s="26">
      <c r="A23" s="33" t="inlineStr">
        <is>
          <t>V3.5</t>
        </is>
      </c>
      <c r="B23" s="33" t="inlineStr">
        <is>
          <t>Browser Origin Separation</t>
        </is>
      </c>
      <c r="C23" s="33" t="n"/>
      <c r="D23" s="33" t="n"/>
      <c r="E23" s="33" t="n"/>
      <c r="F23" s="33" t="n"/>
      <c r="G23" s="33" t="n"/>
      <c r="H23" s="33" t="n"/>
      <c r="I23" s="30" t="n"/>
      <c r="J23" s="30" t="n"/>
      <c r="K23" s="30" t="n"/>
      <c r="L23" s="30" t="n"/>
      <c r="M23" s="30" t="n"/>
    </row>
    <row r="24" ht="30" customHeight="1" s="26">
      <c r="A24" s="34" t="inlineStr">
        <is>
          <t>V3.5</t>
        </is>
      </c>
      <c r="B24" s="34" t="inlineStr">
        <is>
          <t>Browser Origin Separation</t>
        </is>
      </c>
      <c r="C24" s="34" t="inlineStr">
        <is>
          <t>V3.5.1</t>
        </is>
      </c>
      <c r="D24" s="34"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38" t="n">
        <v>1</v>
      </c>
      <c r="F24" s="39" t="inlineStr">
        <is>
          <t>N/A</t>
        </is>
      </c>
      <c r="G24" s="34" t="inlineStr">
        <is>
          <t>Automatically marked out of scope: VendNet is a Spring REST API/backend in this repository; no browser frontend or DOM-rendering surface is present.</t>
        </is>
      </c>
      <c r="H24" s="34" t="inlineStr">
        <is>
          <t>Automated scope inference</t>
        </is>
      </c>
      <c r="I24" s="30" t="inlineStr">
        <is>
          <t>Out of scope for VendNet as currently implemented, or the requirement does not apply to this REST API/backend.</t>
        </is>
      </c>
      <c r="J24" s="30" t="inlineStr">
        <is>
          <t>Scope inference</t>
        </is>
      </c>
      <c r="K24" s="30" t="inlineStr">
        <is>
          <t>Not required for current backend scope.</t>
        </is>
      </c>
      <c r="L24" s="30" t="inlineStr">
        <is>
          <t>VendNet is a Spring REST API/backend in this repository; no browser frontend or DOM-rendering surface is present.</t>
        </is>
      </c>
      <c r="M24" s="30" t="inlineStr">
        <is>
          <t>Revisit if the application scope changes.</t>
        </is>
      </c>
    </row>
    <row r="25" ht="30" customHeight="1" s="26">
      <c r="A25" s="37" t="inlineStr">
        <is>
          <t>V3.5</t>
        </is>
      </c>
      <c r="B25" s="37" t="inlineStr">
        <is>
          <t>Browser Origin Separation</t>
        </is>
      </c>
      <c r="C25" s="37" t="inlineStr">
        <is>
          <t>V3.5.2</t>
        </is>
      </c>
      <c r="D25" s="37"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38" t="n">
        <v>1</v>
      </c>
      <c r="F25" s="39" t="inlineStr">
        <is>
          <t>N/A</t>
        </is>
      </c>
      <c r="G25" s="37" t="inlineStr">
        <is>
          <t>Automatically marked out of scope: VendNet is a Spring REST API/backend in this repository; no browser frontend or DOM-rendering surface is present.</t>
        </is>
      </c>
      <c r="H25" s="37" t="inlineStr">
        <is>
          <t>Automated scope inference</t>
        </is>
      </c>
      <c r="I25" s="30" t="inlineStr">
        <is>
          <t>Out of scope for VendNet as currently implemented, or the requirement does not apply to this REST API/backend.</t>
        </is>
      </c>
      <c r="J25" s="30" t="inlineStr">
        <is>
          <t>Scope inference</t>
        </is>
      </c>
      <c r="K25" s="30" t="inlineStr">
        <is>
          <t>Not required for current backend scope.</t>
        </is>
      </c>
      <c r="L25" s="30" t="inlineStr">
        <is>
          <t>VendNet is a Spring REST API/backend in this repository; no browser frontend or DOM-rendering surface is present.</t>
        </is>
      </c>
      <c r="M25" s="30" t="inlineStr">
        <is>
          <t>Revisit if the application scope changes.</t>
        </is>
      </c>
    </row>
    <row r="26" ht="30" customHeight="1" s="26">
      <c r="A26" s="34" t="inlineStr">
        <is>
          <t>V3.5</t>
        </is>
      </c>
      <c r="B26" s="34" t="inlineStr">
        <is>
          <t>Browser Origin Separation</t>
        </is>
      </c>
      <c r="C26" s="34" t="inlineStr">
        <is>
          <t>V3.5.3</t>
        </is>
      </c>
      <c r="D26" s="34"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38" t="n">
        <v>1</v>
      </c>
      <c r="F26" s="39" t="inlineStr">
        <is>
          <t>N/A</t>
        </is>
      </c>
      <c r="G26" s="34" t="inlineStr">
        <is>
          <t>Automatically marked out of scope: VendNet is a Spring REST API/backend in this repository; no browser frontend or DOM-rendering surface is present.</t>
        </is>
      </c>
      <c r="H26" s="34" t="inlineStr">
        <is>
          <t>Automated scope inference</t>
        </is>
      </c>
      <c r="I26" s="30" t="inlineStr">
        <is>
          <t>Out of scope for VendNet as currently implemented, or the requirement does not apply to this REST API/backend.</t>
        </is>
      </c>
      <c r="J26" s="30" t="inlineStr">
        <is>
          <t>Scope inference</t>
        </is>
      </c>
      <c r="K26" s="30" t="inlineStr">
        <is>
          <t>Not required for current backend scope.</t>
        </is>
      </c>
      <c r="L26" s="30" t="inlineStr">
        <is>
          <t>VendNet is a Spring REST API/backend in this repository; no browser frontend or DOM-rendering surface is present.</t>
        </is>
      </c>
      <c r="M26" s="30" t="inlineStr">
        <is>
          <t>Revisit if the application scope changes.</t>
        </is>
      </c>
    </row>
    <row r="27" ht="30" customHeight="1" s="26">
      <c r="A27" s="37" t="inlineStr">
        <is>
          <t>V3.5</t>
        </is>
      </c>
      <c r="B27" s="37" t="inlineStr">
        <is>
          <t>Browser Origin Separation</t>
        </is>
      </c>
      <c r="C27" s="37" t="inlineStr">
        <is>
          <t>V3.5.4</t>
        </is>
      </c>
      <c r="D27" s="37"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35" t="n">
        <v>2</v>
      </c>
      <c r="F27" s="39" t="inlineStr">
        <is>
          <t>N/A</t>
        </is>
      </c>
      <c r="G27" s="37" t="inlineStr">
        <is>
          <t>Automatically marked out of scope: VendNet is a Spring REST API/backend in this repository; no browser frontend or DOM-rendering surface is present.</t>
        </is>
      </c>
      <c r="H27" s="37" t="inlineStr">
        <is>
          <t>Automated scope inference</t>
        </is>
      </c>
      <c r="I27" s="30" t="inlineStr">
        <is>
          <t>Out of scope for VendNet as currently implemented, or the requirement does not apply to this REST API/backend.</t>
        </is>
      </c>
      <c r="J27" s="30" t="inlineStr">
        <is>
          <t>Scope inference</t>
        </is>
      </c>
      <c r="K27" s="30" t="inlineStr">
        <is>
          <t>Not required for current backend scope.</t>
        </is>
      </c>
      <c r="L27" s="30" t="inlineStr">
        <is>
          <t>VendNet is a Spring REST API/backend in this repository; no browser frontend or DOM-rendering surface is present.</t>
        </is>
      </c>
      <c r="M27" s="30" t="inlineStr">
        <is>
          <t>Revisit if the application scope changes.</t>
        </is>
      </c>
    </row>
    <row r="28" ht="30" customHeight="1" s="26">
      <c r="A28" s="34" t="inlineStr">
        <is>
          <t>V3.5</t>
        </is>
      </c>
      <c r="B28" s="34" t="inlineStr">
        <is>
          <t>Browser Origin Separation</t>
        </is>
      </c>
      <c r="C28" s="34" t="inlineStr">
        <is>
          <t>V3.5.5</t>
        </is>
      </c>
      <c r="D28" s="34" t="inlineStr">
        <is>
          <t>Verify that messages received by the postMessage interface are discarded if the origin of the message is not trusted, or if the syntax of the message is invalid.</t>
        </is>
      </c>
      <c r="E28" s="35" t="n">
        <v>2</v>
      </c>
      <c r="F28" s="39" t="inlineStr">
        <is>
          <t>N/A</t>
        </is>
      </c>
      <c r="G28" s="34" t="inlineStr">
        <is>
          <t>Automatically marked out of scope: VendNet is a Spring REST API/backend in this repository; no browser frontend or DOM-rendering surface is present.</t>
        </is>
      </c>
      <c r="H28" s="34" t="inlineStr">
        <is>
          <t>Automated scope inference</t>
        </is>
      </c>
      <c r="I28" s="30" t="inlineStr">
        <is>
          <t>Out of scope for VendNet as currently implemented, or the requirement does not apply to this REST API/backend.</t>
        </is>
      </c>
      <c r="J28" s="30" t="inlineStr">
        <is>
          <t>Scope inference</t>
        </is>
      </c>
      <c r="K28" s="30" t="inlineStr">
        <is>
          <t>Not required for current backend scope.</t>
        </is>
      </c>
      <c r="L28" s="30" t="inlineStr">
        <is>
          <t>VendNet is a Spring REST API/backend in this repository; no browser frontend or DOM-rendering surface is present.</t>
        </is>
      </c>
      <c r="M28" s="30" t="inlineStr">
        <is>
          <t>Revisit if the application scope changes.</t>
        </is>
      </c>
    </row>
    <row r="29" ht="30" customHeight="1" s="26">
      <c r="A29" s="37" t="inlineStr">
        <is>
          <t>V3.5</t>
        </is>
      </c>
      <c r="B29" s="37" t="inlineStr">
        <is>
          <t>Browser Origin Separation</t>
        </is>
      </c>
      <c r="C29" s="37" t="inlineStr">
        <is>
          <t>V3.5.6</t>
        </is>
      </c>
      <c r="D29" s="37" t="inlineStr">
        <is>
          <t>Verify that JSONP functionality is not enabled anywhere across the application to avoid Cross-Site Script Inclusion (XSSI) attacks.</t>
        </is>
      </c>
      <c r="E29" s="40" t="n">
        <v>3</v>
      </c>
      <c r="F29" s="39" t="inlineStr">
        <is>
          <t>N/A</t>
        </is>
      </c>
      <c r="G29" s="37" t="inlineStr">
        <is>
          <t>Automatically marked out of scope: VendNet is a Spring REST API/backend in this repository; no browser frontend or DOM-rendering surface is present.</t>
        </is>
      </c>
      <c r="H29" s="37" t="inlineStr">
        <is>
          <t>Automated scope inference</t>
        </is>
      </c>
      <c r="I29" s="30" t="inlineStr">
        <is>
          <t>Out of scope for VendNet as currently implemented, or the requirement does not apply to this REST API/backend.</t>
        </is>
      </c>
      <c r="J29" s="30" t="inlineStr">
        <is>
          <t>Scope inference</t>
        </is>
      </c>
      <c r="K29" s="30" t="inlineStr">
        <is>
          <t>Not required for current backend scope.</t>
        </is>
      </c>
      <c r="L29" s="30" t="inlineStr">
        <is>
          <t>VendNet is a Spring REST API/backend in this repository; no browser frontend or DOM-rendering surface is present.</t>
        </is>
      </c>
      <c r="M29" s="30" t="inlineStr">
        <is>
          <t>Revisit if the application scope changes.</t>
        </is>
      </c>
    </row>
    <row r="30" ht="30" customHeight="1" s="26">
      <c r="A30" s="34" t="inlineStr">
        <is>
          <t>V3.5</t>
        </is>
      </c>
      <c r="B30" s="34" t="inlineStr">
        <is>
          <t>Browser Origin Separation</t>
        </is>
      </c>
      <c r="C30" s="34" t="inlineStr">
        <is>
          <t>V3.5.7</t>
        </is>
      </c>
      <c r="D30" s="34" t="inlineStr">
        <is>
          <t>Verify that data requiring authorization is not included in script resource responses, like JavaScript files, to prevent Cross-Site Script Inclusion (XSSI) attacks.</t>
        </is>
      </c>
      <c r="E30" s="40" t="n">
        <v>3</v>
      </c>
      <c r="F30" s="39" t="inlineStr">
        <is>
          <t>N/A</t>
        </is>
      </c>
      <c r="G30" s="34" t="inlineStr">
        <is>
          <t>Automatically marked out of scope: VendNet is a Spring REST API/backend in this repository; no browser frontend or DOM-rendering surface is present.</t>
        </is>
      </c>
      <c r="H30" s="34" t="inlineStr">
        <is>
          <t>Automated scope inference</t>
        </is>
      </c>
      <c r="I30" s="30" t="inlineStr">
        <is>
          <t>Out of scope for VendNet as currently implemented, or the requirement does not apply to this REST API/backend.</t>
        </is>
      </c>
      <c r="J30" s="30" t="inlineStr">
        <is>
          <t>Scope inference</t>
        </is>
      </c>
      <c r="K30" s="30" t="inlineStr">
        <is>
          <t>Not required for current backend scope.</t>
        </is>
      </c>
      <c r="L30" s="30" t="inlineStr">
        <is>
          <t>VendNet is a Spring REST API/backend in this repository; no browser frontend or DOM-rendering surface is present.</t>
        </is>
      </c>
      <c r="M30" s="30" t="inlineStr">
        <is>
          <t>Revisit if the application scope changes.</t>
        </is>
      </c>
    </row>
    <row r="31" ht="30" customHeight="1" s="26">
      <c r="A31" s="37" t="inlineStr">
        <is>
          <t>V3.5</t>
        </is>
      </c>
      <c r="B31" s="37" t="inlineStr">
        <is>
          <t>Browser Origin Separation</t>
        </is>
      </c>
      <c r="C31" s="37" t="inlineStr">
        <is>
          <t>V3.5.8</t>
        </is>
      </c>
      <c r="D31" s="37"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40" t="n">
        <v>3</v>
      </c>
      <c r="F31" s="39" t="inlineStr">
        <is>
          <t>N/A</t>
        </is>
      </c>
      <c r="G31" s="37" t="inlineStr">
        <is>
          <t>Automatically marked out of scope: VendNet is a Spring REST API/backend in this repository; no browser frontend or DOM-rendering surface is present.</t>
        </is>
      </c>
      <c r="H31" s="37" t="inlineStr">
        <is>
          <t>Automated scope inference</t>
        </is>
      </c>
      <c r="I31" s="30" t="inlineStr">
        <is>
          <t>Out of scope for VendNet as currently implemented, or the requirement does not apply to this REST API/backend.</t>
        </is>
      </c>
      <c r="J31" s="30" t="inlineStr">
        <is>
          <t>Scope inference</t>
        </is>
      </c>
      <c r="K31" s="30" t="inlineStr">
        <is>
          <t>Not required for current backend scope.</t>
        </is>
      </c>
      <c r="L31" s="30" t="inlineStr">
        <is>
          <t>VendNet is a Spring REST API/backend in this repository; no browser frontend or DOM-rendering surface is present.</t>
        </is>
      </c>
      <c r="M31" s="30" t="inlineStr">
        <is>
          <t>Revisit if the application scope changes.</t>
        </is>
      </c>
    </row>
    <row r="32" ht="18" customHeight="1" s="26">
      <c r="A32" s="33" t="inlineStr">
        <is>
          <t>V3.6</t>
        </is>
      </c>
      <c r="B32" s="33" t="inlineStr">
        <is>
          <t>External Resource Integrity</t>
        </is>
      </c>
      <c r="C32" s="33" t="n"/>
      <c r="D32" s="33" t="n"/>
      <c r="E32" s="33" t="n"/>
      <c r="F32" s="33" t="n"/>
      <c r="G32" s="33" t="n"/>
      <c r="H32" s="33" t="n"/>
      <c r="I32" s="30" t="n"/>
      <c r="J32" s="30" t="n"/>
      <c r="K32" s="30" t="n"/>
      <c r="L32" s="30" t="n"/>
      <c r="M32" s="30" t="n"/>
    </row>
    <row r="33" ht="30" customHeight="1" s="26">
      <c r="A33" s="34" t="inlineStr">
        <is>
          <t>V3.6</t>
        </is>
      </c>
      <c r="B33" s="34" t="inlineStr">
        <is>
          <t>External Resource Integrity</t>
        </is>
      </c>
      <c r="C33" s="34" t="inlineStr">
        <is>
          <t>V3.6.1</t>
        </is>
      </c>
      <c r="D33" s="34"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40" t="n">
        <v>3</v>
      </c>
      <c r="F33" s="39" t="inlineStr">
        <is>
          <t>N/A</t>
        </is>
      </c>
      <c r="G33" s="34" t="inlineStr">
        <is>
          <t>Automatically marked out of scope: VendNet is a Spring REST API/backend in this repository; no browser frontend or DOM-rendering surface is present.</t>
        </is>
      </c>
      <c r="H33" s="34" t="inlineStr">
        <is>
          <t>Automated scope inference</t>
        </is>
      </c>
      <c r="I33" s="30" t="inlineStr">
        <is>
          <t>Out of scope for VendNet as currently implemented, or the requirement does not apply to this REST API/backend.</t>
        </is>
      </c>
      <c r="J33" s="30" t="inlineStr">
        <is>
          <t>Scope inference</t>
        </is>
      </c>
      <c r="K33" s="30" t="inlineStr">
        <is>
          <t>Not required for current backend scope.</t>
        </is>
      </c>
      <c r="L33" s="30" t="inlineStr">
        <is>
          <t>VendNet is a Spring REST API/backend in this repository; no browser frontend or DOM-rendering surface is present.</t>
        </is>
      </c>
      <c r="M33" s="30" t="inlineStr">
        <is>
          <t>Revisit if the application scope changes.</t>
        </is>
      </c>
    </row>
    <row r="34" ht="18" customHeight="1" s="26">
      <c r="A34" s="33" t="inlineStr">
        <is>
          <t>V3.7</t>
        </is>
      </c>
      <c r="B34" s="33" t="inlineStr">
        <is>
          <t>Other Browser Security Considerations</t>
        </is>
      </c>
      <c r="C34" s="33" t="n"/>
      <c r="D34" s="33" t="n"/>
      <c r="E34" s="33" t="n"/>
      <c r="F34" s="33" t="n"/>
      <c r="G34" s="33" t="n"/>
      <c r="H34" s="33" t="n"/>
      <c r="I34" s="30" t="n"/>
      <c r="J34" s="30" t="n"/>
      <c r="K34" s="30" t="n"/>
      <c r="L34" s="30" t="n"/>
      <c r="M34" s="30" t="n"/>
    </row>
    <row r="35" ht="30" customHeight="1" s="26">
      <c r="A35" s="34" t="inlineStr">
        <is>
          <t>V3.7</t>
        </is>
      </c>
      <c r="B35" s="34" t="inlineStr">
        <is>
          <t>Other Browser Security Considerations</t>
        </is>
      </c>
      <c r="C35" s="34" t="inlineStr">
        <is>
          <t>V3.7.1</t>
        </is>
      </c>
      <c r="D35" s="34"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35" t="n">
        <v>2</v>
      </c>
      <c r="F35" s="39" t="inlineStr">
        <is>
          <t>N/A</t>
        </is>
      </c>
      <c r="G35" s="34" t="inlineStr">
        <is>
          <t>Automatically marked out of scope: VendNet is a Spring REST API/backend in this repository; no browser frontend or DOM-rendering surface is present.</t>
        </is>
      </c>
      <c r="H35" s="34" t="inlineStr">
        <is>
          <t>Automated scope inference</t>
        </is>
      </c>
      <c r="I35" s="30" t="inlineStr">
        <is>
          <t>Out of scope for VendNet as currently implemented, or the requirement does not apply to this REST API/backend.</t>
        </is>
      </c>
      <c r="J35" s="30" t="inlineStr">
        <is>
          <t>Scope inference</t>
        </is>
      </c>
      <c r="K35" s="30" t="inlineStr">
        <is>
          <t>Not required for current backend scope.</t>
        </is>
      </c>
      <c r="L35" s="30" t="inlineStr">
        <is>
          <t>VendNet is a Spring REST API/backend in this repository; no browser frontend or DOM-rendering surface is present.</t>
        </is>
      </c>
      <c r="M35" s="30" t="inlineStr">
        <is>
          <t>Revisit if the application scope changes.</t>
        </is>
      </c>
    </row>
    <row r="36" ht="30" customHeight="1" s="26">
      <c r="A36" s="37" t="inlineStr">
        <is>
          <t>V3.7</t>
        </is>
      </c>
      <c r="B36" s="37" t="inlineStr">
        <is>
          <t>Other Browser Security Considerations</t>
        </is>
      </c>
      <c r="C36" s="37" t="inlineStr">
        <is>
          <t>V3.7.2</t>
        </is>
      </c>
      <c r="D36" s="37" t="inlineStr">
        <is>
          <t>Verify that the application will only automatically redirect the user to a different hostname or domain (which is not controlled by the application) where the destination appears on an allowlist.</t>
        </is>
      </c>
      <c r="E36" s="35" t="n">
        <v>2</v>
      </c>
      <c r="F36" s="39" t="inlineStr">
        <is>
          <t>N/A</t>
        </is>
      </c>
      <c r="G36" s="37" t="inlineStr">
        <is>
          <t>Automatically marked out of scope: VendNet is a Spring REST API/backend in this repository; no browser frontend or DOM-rendering surface is present.</t>
        </is>
      </c>
      <c r="H36" s="37" t="inlineStr">
        <is>
          <t>Automated scope inference</t>
        </is>
      </c>
      <c r="I36" s="30" t="inlineStr">
        <is>
          <t>Out of scope for VendNet as currently implemented, or the requirement does not apply to this REST API/backend.</t>
        </is>
      </c>
      <c r="J36" s="30" t="inlineStr">
        <is>
          <t>Scope inference</t>
        </is>
      </c>
      <c r="K36" s="30" t="inlineStr">
        <is>
          <t>Not required for current backend scope.</t>
        </is>
      </c>
      <c r="L36" s="30" t="inlineStr">
        <is>
          <t>VendNet is a Spring REST API/backend in this repository; no browser frontend or DOM-rendering surface is present.</t>
        </is>
      </c>
      <c r="M36" s="30" t="inlineStr">
        <is>
          <t>Revisit if the application scope changes.</t>
        </is>
      </c>
    </row>
    <row r="37" ht="30" customHeight="1" s="26">
      <c r="A37" s="34" t="inlineStr">
        <is>
          <t>V3.7</t>
        </is>
      </c>
      <c r="B37" s="34" t="inlineStr">
        <is>
          <t>Other Browser Security Considerations</t>
        </is>
      </c>
      <c r="C37" s="34" t="inlineStr">
        <is>
          <t>V3.7.3</t>
        </is>
      </c>
      <c r="D37" s="34" t="inlineStr">
        <is>
          <t>Verify that the application shows a notification when the user is being redirected to a URL outside of the application's control, with an option to cancel the navigation.</t>
        </is>
      </c>
      <c r="E37" s="40" t="n">
        <v>3</v>
      </c>
      <c r="F37" s="39" t="inlineStr">
        <is>
          <t>N/A</t>
        </is>
      </c>
      <c r="G37" s="34" t="inlineStr">
        <is>
          <t>Automatically marked out of scope: VendNet is a Spring REST API/backend in this repository; no browser frontend or DOM-rendering surface is present.</t>
        </is>
      </c>
      <c r="H37" s="34" t="inlineStr">
        <is>
          <t>Automated scope inference</t>
        </is>
      </c>
      <c r="I37" s="30" t="inlineStr">
        <is>
          <t>Out of scope for VendNet as currently implemented, or the requirement does not apply to this REST API/backend.</t>
        </is>
      </c>
      <c r="J37" s="30" t="inlineStr">
        <is>
          <t>Scope inference</t>
        </is>
      </c>
      <c r="K37" s="30" t="inlineStr">
        <is>
          <t>Not required for current backend scope.</t>
        </is>
      </c>
      <c r="L37" s="30" t="inlineStr">
        <is>
          <t>VendNet is a Spring REST API/backend in this repository; no browser frontend or DOM-rendering surface is present.</t>
        </is>
      </c>
      <c r="M37" s="30" t="inlineStr">
        <is>
          <t>Revisit if the application scope changes.</t>
        </is>
      </c>
    </row>
    <row r="38" ht="30" customHeight="1" s="26">
      <c r="A38" s="37" t="inlineStr">
        <is>
          <t>V3.7</t>
        </is>
      </c>
      <c r="B38" s="37" t="inlineStr">
        <is>
          <t>Other Browser Security Considerations</t>
        </is>
      </c>
      <c r="C38" s="37" t="inlineStr">
        <is>
          <t>V3.7.4</t>
        </is>
      </c>
      <c r="D38" s="37"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40" t="n">
        <v>3</v>
      </c>
      <c r="F38" s="39" t="inlineStr">
        <is>
          <t>N/A</t>
        </is>
      </c>
      <c r="G38" s="37" t="inlineStr">
        <is>
          <t>Automatically marked out of scope: VendNet is a Spring REST API/backend in this repository; no browser frontend or DOM-rendering surface is present.</t>
        </is>
      </c>
      <c r="H38" s="37" t="inlineStr">
        <is>
          <t>Automated scope inference</t>
        </is>
      </c>
      <c r="I38" s="30" t="inlineStr">
        <is>
          <t>Out of scope for VendNet as currently implemented, or the requirement does not apply to this REST API/backend.</t>
        </is>
      </c>
      <c r="J38" s="30" t="inlineStr">
        <is>
          <t>Scope inference</t>
        </is>
      </c>
      <c r="K38" s="30" t="inlineStr">
        <is>
          <t>Not required for current backend scope.</t>
        </is>
      </c>
      <c r="L38" s="30" t="inlineStr">
        <is>
          <t>VendNet is a Spring REST API/backend in this repository; no browser frontend or DOM-rendering surface is present.</t>
        </is>
      </c>
      <c r="M38" s="30" t="inlineStr">
        <is>
          <t>Revisit if the application scope changes.</t>
        </is>
      </c>
    </row>
    <row r="39" ht="30" customHeight="1" s="26">
      <c r="A39" s="34" t="inlineStr">
        <is>
          <t>V3.7</t>
        </is>
      </c>
      <c r="B39" s="34" t="inlineStr">
        <is>
          <t>Other Browser Security Considerations</t>
        </is>
      </c>
      <c r="C39" s="34" t="inlineStr">
        <is>
          <t>V3.7.5</t>
        </is>
      </c>
      <c r="D39" s="34" t="inlineStr">
        <is>
          <t>Verify that the application behaves as documented (such as warning the user or blocking access) if the browser used to access the application does not support the expected security features.</t>
        </is>
      </c>
      <c r="E39" s="40" t="n">
        <v>3</v>
      </c>
      <c r="F39" s="39" t="inlineStr">
        <is>
          <t>N/A</t>
        </is>
      </c>
      <c r="G39" s="34" t="inlineStr">
        <is>
          <t>Automatically marked out of scope: VendNet is a Spring REST API/backend in this repository; no browser frontend or DOM-rendering surface is present.</t>
        </is>
      </c>
      <c r="H39" s="34" t="inlineStr">
        <is>
          <t>Automated scope inference</t>
        </is>
      </c>
      <c r="I39" s="30" t="inlineStr">
        <is>
          <t>Out of scope for VendNet as currently implemented, or the requirement does not apply to this REST API/backend.</t>
        </is>
      </c>
      <c r="J39" s="30" t="inlineStr">
        <is>
          <t>Scope inference</t>
        </is>
      </c>
      <c r="K39" s="30" t="inlineStr">
        <is>
          <t>Not required for current backend scope.</t>
        </is>
      </c>
      <c r="L39" s="30" t="inlineStr">
        <is>
          <t>VendNet is a Spring REST API/backend in this repository; no browser frontend or DOM-rendering surface is present.</t>
        </is>
      </c>
      <c r="M39" s="30" t="inlineStr">
        <is>
          <t>Revisit if the application scope changes.</t>
        </is>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6.xml><?xml version="1.0" encoding="utf-8"?>
<worksheet xmlns="http://schemas.openxmlformats.org/spreadsheetml/2006/main">
  <sheetPr>
    <outlinePr summaryBelow="1" summaryRight="1"/>
    <pageSetUpPr/>
  </sheetPr>
  <dimension ref="A1:M21"/>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V4.1</t>
        </is>
      </c>
      <c r="B2" s="33" t="inlineStr">
        <is>
          <t>Generic Web Service Security</t>
        </is>
      </c>
      <c r="C2" s="33" t="n"/>
      <c r="D2" s="33" t="n"/>
      <c r="E2" s="33" t="n"/>
      <c r="F2" s="33" t="n"/>
      <c r="G2" s="33" t="n"/>
      <c r="H2" s="33" t="n"/>
      <c r="I2" s="30" t="n"/>
      <c r="J2" s="30" t="n"/>
      <c r="K2" s="30" t="n"/>
      <c r="L2" s="30" t="n"/>
      <c r="M2" s="30" t="n"/>
    </row>
    <row r="3" ht="30" customHeight="1" s="26">
      <c r="A3" s="34" t="inlineStr">
        <is>
          <t>V4.1</t>
        </is>
      </c>
      <c r="B3" s="34" t="inlineStr">
        <is>
          <t>Generic Web Service Security</t>
        </is>
      </c>
      <c r="C3" s="34" t="inlineStr">
        <is>
          <t>V4.1.1</t>
        </is>
      </c>
      <c r="D3" s="34"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38" t="n">
        <v>1</v>
      </c>
      <c r="F3" s="39" t="inlineStr">
        <is>
          <t>N/A</t>
        </is>
      </c>
      <c r="G3" s="34" t="inlineStr">
        <is>
          <t>Automatically marked out of scope: No XML/SOAP API surface is present; controllers return JSON REST responses.</t>
        </is>
      </c>
      <c r="H3" s="34" t="inlineStr">
        <is>
          <t>Automated scope inference</t>
        </is>
      </c>
      <c r="I3" s="30" t="inlineStr">
        <is>
          <t>Out of scope for VendNet as currently implemented, or the requirement does not apply to this REST API/backend.</t>
        </is>
      </c>
      <c r="J3" s="30" t="inlineStr">
        <is>
          <t>Scope inference</t>
        </is>
      </c>
      <c r="K3" s="30" t="inlineStr">
        <is>
          <t>Not required for current backend scope.</t>
        </is>
      </c>
      <c r="L3" s="30" t="inlineStr">
        <is>
          <t>No XML/SOAP API surface is present; controllers return JSON REST responses.</t>
        </is>
      </c>
      <c r="M3" s="30" t="inlineStr">
        <is>
          <t>Revisit if the application scope changes.</t>
        </is>
      </c>
    </row>
    <row r="4" ht="30" customHeight="1" s="26">
      <c r="A4" s="37" t="inlineStr">
        <is>
          <t>V4.1</t>
        </is>
      </c>
      <c r="B4" s="37" t="inlineStr">
        <is>
          <t>Generic Web Service Security</t>
        </is>
      </c>
      <c r="C4" s="37" t="inlineStr">
        <is>
          <t>V4.1.2</t>
        </is>
      </c>
      <c r="D4" s="37"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35" t="n">
        <v>2</v>
      </c>
      <c r="F4" s="39" t="inlineStr">
        <is>
          <t>N/A</t>
        </is>
      </c>
      <c r="G4" s="37" t="inlineStr">
        <is>
          <t>Automatically marked out of scope: No browser-rendered frontend surface is present in this repository.</t>
        </is>
      </c>
      <c r="H4" s="37" t="inlineStr">
        <is>
          <t>Automated scope inference</t>
        </is>
      </c>
      <c r="I4" s="30" t="inlineStr">
        <is>
          <t>Out of scope for VendNet as currently implemented, or the requirement does not apply to this REST API/backend.</t>
        </is>
      </c>
      <c r="J4" s="30" t="inlineStr">
        <is>
          <t>Scope inference</t>
        </is>
      </c>
      <c r="K4" s="30" t="inlineStr">
        <is>
          <t>Not required for current backend scope.</t>
        </is>
      </c>
      <c r="L4" s="30" t="inlineStr">
        <is>
          <t>No browser-rendered frontend surface is present in this repository.</t>
        </is>
      </c>
      <c r="M4" s="30" t="inlineStr">
        <is>
          <t>Revisit if the application scope changes.</t>
        </is>
      </c>
    </row>
    <row r="5" ht="30" customHeight="1" s="26">
      <c r="A5" s="34" t="inlineStr">
        <is>
          <t>V4.1</t>
        </is>
      </c>
      <c r="B5" s="34" t="inlineStr">
        <is>
          <t>Generic Web Service Security</t>
        </is>
      </c>
      <c r="C5" s="34" t="inlineStr">
        <is>
          <t>V4.1.3</t>
        </is>
      </c>
      <c r="D5" s="34"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35" t="n">
        <v>2</v>
      </c>
      <c r="F5" s="36" t="inlineStr">
        <is>
          <t>Compliant</t>
        </is>
      </c>
      <c r="G5" s="34" t="inlineStr">
        <is>
          <t>Automatically marked compliant from passing evidence: safe JSON response/error surface.</t>
        </is>
      </c>
      <c r="H5" s="34" t="inlineStr">
        <is>
          <t>SR-14; GlobalExceptionHandlerTest; ControllerIntegrationTests; centralized safe error handling detected</t>
        </is>
      </c>
      <c r="I5" s="30" t="inlineStr">
        <is>
          <t>Automatically inferred as implemented or justified from passing tests, source code, configuration, or build artifacts.</t>
        </is>
      </c>
      <c r="J5" s="30" t="inlineStr">
        <is>
          <t>Automated repository evidence</t>
        </is>
      </c>
      <c r="K5" s="30" t="inlineStr">
        <is>
          <t>GlobalExceptionHandlerTest; ControllerIntegrationTests; centralized safe error handling detected</t>
        </is>
      </c>
      <c r="L5" s="30" t="inlineStr">
        <is>
          <t>safe JSON response/error surface</t>
        </is>
      </c>
      <c r="M5" s="30" t="inlineStr">
        <is>
          <t>Keep make asvs-tracker passing; reassess if code, tests, or scope changes.</t>
        </is>
      </c>
    </row>
    <row r="6" ht="30" customHeight="1" s="26">
      <c r="A6" s="37" t="inlineStr">
        <is>
          <t>V4.1</t>
        </is>
      </c>
      <c r="B6" s="37" t="inlineStr">
        <is>
          <t>Generic Web Service Security</t>
        </is>
      </c>
      <c r="C6" s="37" t="inlineStr">
        <is>
          <t>V4.1.4</t>
        </is>
      </c>
      <c r="D6" s="37" t="inlineStr">
        <is>
          <t>Verify that only HTTP methods that are explicitly supported by the application or its API (including OPTIONS during preflight requests) can be used and that unused methods are blocked.</t>
        </is>
      </c>
      <c r="E6" s="40" t="n">
        <v>3</v>
      </c>
      <c r="F6" s="36" t="inlineStr">
        <is>
          <t>Compliant</t>
        </is>
      </c>
      <c r="G6" s="37" t="inlineStr">
        <is>
          <t>Automatically marked compliant from passing evidence: safe JSON response/error surface.</t>
        </is>
      </c>
      <c r="H6" s="37" t="inlineStr">
        <is>
          <t>SR-14; GlobalExceptionHandlerTest; ControllerIntegrationTests; centralized safe error handling detected</t>
        </is>
      </c>
      <c r="I6" s="30" t="inlineStr">
        <is>
          <t>Automatically inferred as implemented or justified from passing tests, source code, configuration, or build artifacts.</t>
        </is>
      </c>
      <c r="J6" s="30" t="inlineStr">
        <is>
          <t>Automated repository evidence</t>
        </is>
      </c>
      <c r="K6" s="30" t="inlineStr">
        <is>
          <t>GlobalExceptionHandlerTest; ControllerIntegrationTests; centralized safe error handling detected</t>
        </is>
      </c>
      <c r="L6" s="30" t="inlineStr">
        <is>
          <t>safe JSON response/error surface</t>
        </is>
      </c>
      <c r="M6" s="30" t="inlineStr">
        <is>
          <t>Keep make asvs-tracker passing; reassess if code, tests, or scope changes.</t>
        </is>
      </c>
    </row>
    <row r="7" ht="30" customHeight="1" s="26">
      <c r="A7" s="34" t="inlineStr">
        <is>
          <t>V4.1</t>
        </is>
      </c>
      <c r="B7" s="34" t="inlineStr">
        <is>
          <t>Generic Web Service Security</t>
        </is>
      </c>
      <c r="C7" s="34" t="inlineStr">
        <is>
          <t>V4.1.5</t>
        </is>
      </c>
      <c r="D7" s="34" t="inlineStr">
        <is>
          <t>Verify that per-message digital signatures are used to provide additional assurance on top of transport protections for requests or transactions which are highly sensitive or which traverse a number of systems.</t>
        </is>
      </c>
      <c r="E7" s="40" t="n">
        <v>3</v>
      </c>
      <c r="F7" s="36" t="inlineStr">
        <is>
          <t>Compliant</t>
        </is>
      </c>
      <c r="G7" s="34" t="inlineStr">
        <is>
          <t>Automatically marked compliant from passing evidence: transaction and stock consistency; server-side price enforcement; stock limit validation; client-supplied price abuse-case regression; TOCTOU/stock race abuse-case regression.</t>
        </is>
      </c>
      <c r="H7" s="34" t="inlineStr">
        <is>
          <t>SR-15; SR-24; SR-25; AC-03; AC-07; SaleServiceTest; SlotServiceTest; AbuseCaseRegressionTest</t>
        </is>
      </c>
      <c r="I7" s="30" t="inlineStr">
        <is>
          <t>Automatically inferred as implemented or justified from passing tests, source code, configuration, or build artifacts.</t>
        </is>
      </c>
      <c r="J7" s="30" t="inlineStr">
        <is>
          <t>Automated repository evidence</t>
        </is>
      </c>
      <c r="K7" s="30" t="inlineStr">
        <is>
          <t>SaleServiceTest; SlotServiceTest; AbuseCaseRegressionTest</t>
        </is>
      </c>
      <c r="L7" s="30" t="inlineStr">
        <is>
          <t>transaction and stock consistency; server-side price enforcement; stock limit validation; client-supplied price abuse-case regression; TOCTOU/stock race abuse-case regression</t>
        </is>
      </c>
      <c r="M7" s="30" t="inlineStr">
        <is>
          <t>Keep make asvs-tracker passing; reassess if code, tests, or scope changes.</t>
        </is>
      </c>
    </row>
    <row r="8" ht="18" customHeight="1" s="26">
      <c r="A8" s="33" t="inlineStr">
        <is>
          <t>V4.2</t>
        </is>
      </c>
      <c r="B8" s="33" t="inlineStr">
        <is>
          <t>HTTP Message Structure Validation</t>
        </is>
      </c>
      <c r="C8" s="33" t="n"/>
      <c r="D8" s="33" t="n"/>
      <c r="E8" s="33" t="n"/>
      <c r="F8" s="33" t="n"/>
      <c r="G8" s="33" t="n"/>
      <c r="H8" s="33" t="n"/>
      <c r="I8" s="30" t="n"/>
      <c r="J8" s="30" t="n"/>
      <c r="K8" s="30" t="n"/>
      <c r="L8" s="30" t="n"/>
      <c r="M8" s="30" t="n"/>
    </row>
    <row r="9" ht="30" customHeight="1" s="26">
      <c r="A9" s="34" t="inlineStr">
        <is>
          <t>V4.2</t>
        </is>
      </c>
      <c r="B9" s="34" t="inlineStr">
        <is>
          <t>HTTP Message Structure Validation</t>
        </is>
      </c>
      <c r="C9" s="34" t="inlineStr">
        <is>
          <t>V4.2.1</t>
        </is>
      </c>
      <c r="D9" s="34"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35" t="n">
        <v>2</v>
      </c>
      <c r="F9" s="36" t="inlineStr">
        <is>
          <t>Compliant</t>
        </is>
      </c>
      <c r="G9" s="34" t="inlineStr">
        <is>
          <t>Automatically marked compliant from passing evidence: safe JSON response/error surface; dependency governance and SBOM; dependency update monitoring; pinned dependency rules.</t>
        </is>
      </c>
      <c r="H9" s="34" t="inlineStr">
        <is>
          <t>SR-14; SR-32; SR-33; SR-34; GlobalExceptionHandlerTest; ControllerIntegrationTests; Maven Enforcer; CycloneDX SBOM; Dependabot; pom.xml; SCA/SBOM/enforcer configuration detected; centralized safe error handling detected</t>
        </is>
      </c>
      <c r="I9" s="30" t="inlineStr">
        <is>
          <t>Automatically inferred as implemented or justified from passing tests, source code, configuration, or build artifacts.</t>
        </is>
      </c>
      <c r="J9" s="30" t="inlineStr">
        <is>
          <t>Automated repository evidence</t>
        </is>
      </c>
      <c r="K9" s="30" t="inlineStr">
        <is>
          <t>GlobalExceptionHandlerTest; ControllerIntegrationTests; Maven Enforcer; CycloneDX SBOM; Dependabot; pom.xml; SCA/SBOM/enforcer configuration detected; centralized safe error handling detected</t>
        </is>
      </c>
      <c r="L9" s="30" t="inlineStr">
        <is>
          <t>safe JSON response/error surface; dependency governance and SBOM; dependency update monitoring; pinned dependency rules</t>
        </is>
      </c>
      <c r="M9" s="30" t="inlineStr">
        <is>
          <t>Keep make asvs-tracker passing; reassess if code, tests, or scope changes.</t>
        </is>
      </c>
    </row>
    <row r="10" ht="30" customHeight="1" s="26">
      <c r="A10" s="37" t="inlineStr">
        <is>
          <t>V4.2</t>
        </is>
      </c>
      <c r="B10" s="37" t="inlineStr">
        <is>
          <t>HTTP Message Structure Validation</t>
        </is>
      </c>
      <c r="C10" s="37" t="inlineStr">
        <is>
          <t>V4.2.2</t>
        </is>
      </c>
      <c r="D10" s="37" t="inlineStr">
        <is>
          <t>Verify that when generating HTTP messages, the Content-Length header field does not conflict with the length of the content as determined by the framing of the HTTP protocol, in order to prevent request smuggling attacks.</t>
        </is>
      </c>
      <c r="E10" s="40" t="n">
        <v>3</v>
      </c>
      <c r="F10" s="36" t="inlineStr">
        <is>
          <t>Compliant</t>
        </is>
      </c>
      <c r="G10" s="37" t="inlineStr">
        <is>
          <t>Automatically marked compliant from passing evidence: safe JSON response/error surface.</t>
        </is>
      </c>
      <c r="H10" s="37" t="inlineStr">
        <is>
          <t>SR-14; GlobalExceptionHandlerTest; ControllerIntegrationTests; centralized safe error handling detected</t>
        </is>
      </c>
      <c r="I10" s="30" t="inlineStr">
        <is>
          <t>Automatically inferred as implemented or justified from passing tests, source code, configuration, or build artifacts.</t>
        </is>
      </c>
      <c r="J10" s="30" t="inlineStr">
        <is>
          <t>Automated repository evidence</t>
        </is>
      </c>
      <c r="K10" s="30" t="inlineStr">
        <is>
          <t>GlobalExceptionHandlerTest; ControllerIntegrationTests; centralized safe error handling detected</t>
        </is>
      </c>
      <c r="L10" s="30" t="inlineStr">
        <is>
          <t>safe JSON response/error surface</t>
        </is>
      </c>
      <c r="M10" s="30" t="inlineStr">
        <is>
          <t>Keep make asvs-tracker passing; reassess if code, tests, or scope changes.</t>
        </is>
      </c>
    </row>
    <row r="11" ht="30" customHeight="1" s="26">
      <c r="A11" s="34" t="inlineStr">
        <is>
          <t>V4.2</t>
        </is>
      </c>
      <c r="B11" s="34" t="inlineStr">
        <is>
          <t>HTTP Message Structure Validation</t>
        </is>
      </c>
      <c r="C11" s="34" t="inlineStr">
        <is>
          <t>V4.2.3</t>
        </is>
      </c>
      <c r="D11" s="34" t="inlineStr">
        <is>
          <t>Verify that the application does not send nor accept HTTP/2 or HTTP/3 messages with connection-specific header fields such as Transfer-Encoding to prevent response splitting and header injection attacks.</t>
        </is>
      </c>
      <c r="E11" s="40" t="n">
        <v>3</v>
      </c>
      <c r="F11" s="36" t="inlineStr">
        <is>
          <t>Compliant</t>
        </is>
      </c>
      <c r="G11" s="34" t="inlineStr">
        <is>
          <t>Automatically marked compliant from passing evidence: SQL injection regression and taint checks; SQL injection abuse-case regression.</t>
        </is>
      </c>
      <c r="H11" s="34" t="inlineStr">
        <is>
          <t>SR-09; AC-05; AbuseCaseRegressionTest; IastIntegrationTest</t>
        </is>
      </c>
      <c r="I11" s="30" t="inlineStr">
        <is>
          <t>Automatically inferred as implemented or justified from passing tests, source code, configuration, or build artifacts.</t>
        </is>
      </c>
      <c r="J11" s="30" t="inlineStr">
        <is>
          <t>Automated repository evidence</t>
        </is>
      </c>
      <c r="K11" s="30" t="inlineStr">
        <is>
          <t>AbuseCaseRegressionTest; IastIntegrationTest</t>
        </is>
      </c>
      <c r="L11" s="30" t="inlineStr">
        <is>
          <t>SQL injection regression and taint checks; SQL injection abuse-case regression</t>
        </is>
      </c>
      <c r="M11" s="30" t="inlineStr">
        <is>
          <t>Keep make asvs-tracker passing; reassess if code, tests, or scope changes.</t>
        </is>
      </c>
    </row>
    <row r="12" ht="30" customHeight="1" s="26">
      <c r="A12" s="37" t="inlineStr">
        <is>
          <t>V4.2</t>
        </is>
      </c>
      <c r="B12" s="37" t="inlineStr">
        <is>
          <t>HTTP Message Structure Validation</t>
        </is>
      </c>
      <c r="C12" s="37" t="inlineStr">
        <is>
          <t>V4.2.4</t>
        </is>
      </c>
      <c r="D12" s="37" t="inlineStr">
        <is>
          <t>Verify that the application only accepts HTTP/2 and HTTP/3 requests where the header fields and values do not contain any CR (\r), LF (\n), or CRLF (\r\n) sequences, to prevent header injection attacks.</t>
        </is>
      </c>
      <c r="E12" s="40" t="n">
        <v>3</v>
      </c>
      <c r="F12" s="36" t="inlineStr">
        <is>
          <t>Compliant</t>
        </is>
      </c>
      <c r="G12" s="37" t="inlineStr">
        <is>
          <t>Automatically marked compliant from passing evidence: dependency governance and SBOM; SQL injection regression and taint checks; SQL injection abuse-case regression.</t>
        </is>
      </c>
      <c r="H12" s="37" t="inlineStr">
        <is>
          <t>SR-32; SR-09; AC-05; Maven Enforcer; CycloneDX SBOM; AbuseCaseRegressionTest; IastIntegrationTest; SCA/SBOM/enforcer configuration detected</t>
        </is>
      </c>
      <c r="I12" s="30" t="inlineStr">
        <is>
          <t>Automatically inferred as implemented or justified from passing tests, source code, configuration, or build artifacts.</t>
        </is>
      </c>
      <c r="J12" s="30" t="inlineStr">
        <is>
          <t>Automated repository evidence</t>
        </is>
      </c>
      <c r="K12" s="30" t="inlineStr">
        <is>
          <t>Maven Enforcer; CycloneDX SBOM; AbuseCaseRegressionTest; IastIntegrationTest; SCA/SBOM/enforcer configuration detected</t>
        </is>
      </c>
      <c r="L12" s="30" t="inlineStr">
        <is>
          <t>dependency governance and SBOM; SQL injection regression and taint checks; SQL injection abuse-case regression</t>
        </is>
      </c>
      <c r="M12" s="30" t="inlineStr">
        <is>
          <t>Keep make asvs-tracker passing; reassess if code, tests, or scope changes.</t>
        </is>
      </c>
    </row>
    <row r="13" ht="30" customHeight="1" s="26">
      <c r="A13" s="34" t="inlineStr">
        <is>
          <t>V4.2</t>
        </is>
      </c>
      <c r="B13" s="34" t="inlineStr">
        <is>
          <t>HTTP Message Structure Validation</t>
        </is>
      </c>
      <c r="C13" s="34" t="inlineStr">
        <is>
          <t>V4.2.5</t>
        </is>
      </c>
      <c r="D13" s="34"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40" t="n">
        <v>3</v>
      </c>
      <c r="F13" s="36" t="inlineStr">
        <is>
          <t>Compliant</t>
        </is>
      </c>
      <c r="G13" s="34" t="inlineStr">
        <is>
          <t>Automatically marked compliant from passing evidence: stock limit validation; RBAC roles and endpoint isolation; controller/service authorization guardrails; user data access isolation; input shape/range validation; unknown-field rejection; payload/request limit coverage; dependency governance and SBOM; dependency update monitoring; pinned dependency rules; authentication audit logging; sensitive log data checks; safe error response checks.</t>
        </is>
      </c>
      <c r="H13" s="34" t="inlineStr">
        <is>
          <t>SR-25; SR-02; SR-06; SR-08; SR-28; SR-29; SR-30; SR-32; SR-33; SR-34; SR-37; SR-45; SR-46; SlotServiceTest; SaleServiceTest; RbacIntegrationTest; SecurityAnnotationArchTest; SystemFunctionalTests; ControllerIntegrationTests; ControllerUnitTests; GlobalExceptionHandlerTest; application.properties; Maven Enforcer; CycloneDX SBOM; Dependabot; pom.xml; AuthServiceTest; AuditLoggerTest; Spring method security and RBAC annotations detected; Bean Validation and request-shape controls detected; audit logging implementation detected; SCA/SBOM/enforcer configuration detected; centralized safe error handling detected</t>
        </is>
      </c>
      <c r="I13" s="30" t="inlineStr">
        <is>
          <t>Automatically inferred as implemented or justified from passing tests, source code, configuration, or build artifacts.</t>
        </is>
      </c>
      <c r="J13" s="30" t="inlineStr">
        <is>
          <t>Automated repository evidence</t>
        </is>
      </c>
      <c r="K13" s="30" t="inlineStr">
        <is>
          <t>SlotServiceTest; SaleServiceTest; RbacIntegrationTest; SecurityAnnotationArchTest; SystemFunctionalTests; ControllerIntegrationTests; ControllerUnitTests; GlobalExceptionHandlerTest; application.properties; Maven Enforcer; CycloneDX SBOM; Dependabot; pom.xml; AuthServiceTest; AuditLoggerTest; Spring method security and RBAC annotations detected; Bean Validation and request-shape controls detected; audit logging implementation detected; SCA/SBOM/enforcer configuration detected; centralized safe error handling detected</t>
        </is>
      </c>
      <c r="L13" s="30" t="inlineStr">
        <is>
          <t>stock limit validation; RBAC roles and endpoint isolation; controller/service authorization guardrails; user data access isolation; input shape/range validation; unknown-field rejection; payload/request limit coverage; dependency governance and SBOM; dependency update monitoring; pinned dependency rules; authentication audit logging; sensitive log data checks; safe error response checks</t>
        </is>
      </c>
      <c r="M13" s="30" t="inlineStr">
        <is>
          <t>Keep make asvs-tracker passing; reassess if code, tests, or scope changes.</t>
        </is>
      </c>
    </row>
    <row r="14" ht="18" customHeight="1" s="26">
      <c r="A14" s="33" t="inlineStr">
        <is>
          <t>V4.3</t>
        </is>
      </c>
      <c r="B14" s="33" t="inlineStr">
        <is>
          <t>GraphQL</t>
        </is>
      </c>
      <c r="C14" s="33" t="n"/>
      <c r="D14" s="33" t="n"/>
      <c r="E14" s="33" t="n"/>
      <c r="F14" s="33" t="n"/>
      <c r="G14" s="33" t="n"/>
      <c r="H14" s="33" t="n"/>
      <c r="I14" s="30" t="n"/>
      <c r="J14" s="30" t="n"/>
      <c r="K14" s="30" t="n"/>
      <c r="L14" s="30" t="n"/>
      <c r="M14" s="30" t="n"/>
    </row>
    <row r="15" ht="30" customHeight="1" s="26">
      <c r="A15" s="34" t="inlineStr">
        <is>
          <t>V4.3</t>
        </is>
      </c>
      <c r="B15" s="34" t="inlineStr">
        <is>
          <t>GraphQL</t>
        </is>
      </c>
      <c r="C15" s="34" t="inlineStr">
        <is>
          <t>V4.3.1</t>
        </is>
      </c>
      <c r="D15" s="34" t="inlineStr">
        <is>
          <t>Verify that a query allowlist, depth limiting, amount limiting, or query cost analysis is used to prevent GraphQL or data layer expression Denial of Service (DoS) as a result of expensive, nested queries.</t>
        </is>
      </c>
      <c r="E15" s="35" t="n">
        <v>2</v>
      </c>
      <c r="F15" s="39" t="inlineStr">
        <is>
          <t>N/A</t>
        </is>
      </c>
      <c r="G15" s="34" t="inlineStr">
        <is>
          <t>Automatically marked out of scope: No GraphQL endpoint or GraphQL dependency is present.</t>
        </is>
      </c>
      <c r="H15" s="34" t="inlineStr">
        <is>
          <t>Automated scope inference</t>
        </is>
      </c>
      <c r="I15" s="30" t="inlineStr">
        <is>
          <t>Out of scope for VendNet as currently implemented, or the requirement does not apply to this REST API/backend.</t>
        </is>
      </c>
      <c r="J15" s="30" t="inlineStr">
        <is>
          <t>Scope inference</t>
        </is>
      </c>
      <c r="K15" s="30" t="inlineStr">
        <is>
          <t>Not required for current backend scope.</t>
        </is>
      </c>
      <c r="L15" s="30" t="inlineStr">
        <is>
          <t>No GraphQL endpoint or GraphQL dependency is present.</t>
        </is>
      </c>
      <c r="M15" s="30" t="inlineStr">
        <is>
          <t>Revisit if the application scope changes.</t>
        </is>
      </c>
    </row>
    <row r="16" ht="30" customHeight="1" s="26">
      <c r="A16" s="37" t="inlineStr">
        <is>
          <t>V4.3</t>
        </is>
      </c>
      <c r="B16" s="37" t="inlineStr">
        <is>
          <t>GraphQL</t>
        </is>
      </c>
      <c r="C16" s="37" t="inlineStr">
        <is>
          <t>V4.3.2</t>
        </is>
      </c>
      <c r="D16" s="37" t="inlineStr">
        <is>
          <t>Verify that GraphQL introspection queries are disabled in the production environment unless the GraphQL API is meant to be used by other parties.</t>
        </is>
      </c>
      <c r="E16" s="35" t="n">
        <v>2</v>
      </c>
      <c r="F16" s="39" t="inlineStr">
        <is>
          <t>N/A</t>
        </is>
      </c>
      <c r="G16" s="37" t="inlineStr">
        <is>
          <t>Automatically marked out of scope: No GraphQL endpoint or GraphQL dependency is present.</t>
        </is>
      </c>
      <c r="H16" s="37" t="inlineStr">
        <is>
          <t>Automated scope inference</t>
        </is>
      </c>
      <c r="I16" s="30" t="inlineStr">
        <is>
          <t>Out of scope for VendNet as currently implemented, or the requirement does not apply to this REST API/backend.</t>
        </is>
      </c>
      <c r="J16" s="30" t="inlineStr">
        <is>
          <t>Scope inference</t>
        </is>
      </c>
      <c r="K16" s="30" t="inlineStr">
        <is>
          <t>Not required for current backend scope.</t>
        </is>
      </c>
      <c r="L16" s="30" t="inlineStr">
        <is>
          <t>No GraphQL endpoint or GraphQL dependency is present.</t>
        </is>
      </c>
      <c r="M16" s="30" t="inlineStr">
        <is>
          <t>Revisit if the application scope changes.</t>
        </is>
      </c>
    </row>
    <row r="17" ht="18" customHeight="1" s="26">
      <c r="A17" s="33" t="inlineStr">
        <is>
          <t>V4.4</t>
        </is>
      </c>
      <c r="B17" s="33" t="inlineStr">
        <is>
          <t>WebSocket</t>
        </is>
      </c>
      <c r="C17" s="33" t="n"/>
      <c r="D17" s="33" t="n"/>
      <c r="E17" s="33" t="n"/>
      <c r="F17" s="33" t="n"/>
      <c r="G17" s="33" t="n"/>
      <c r="H17" s="33" t="n"/>
      <c r="I17" s="30" t="n"/>
      <c r="J17" s="30" t="n"/>
      <c r="K17" s="30" t="n"/>
      <c r="L17" s="30" t="n"/>
      <c r="M17" s="30" t="n"/>
    </row>
    <row r="18" ht="30" customHeight="1" s="26">
      <c r="A18" s="34" t="inlineStr">
        <is>
          <t>V4.4</t>
        </is>
      </c>
      <c r="B18" s="34" t="inlineStr">
        <is>
          <t>WebSocket</t>
        </is>
      </c>
      <c r="C18" s="34" t="inlineStr">
        <is>
          <t>V4.4.1</t>
        </is>
      </c>
      <c r="D18" s="34" t="inlineStr">
        <is>
          <t>Verify that WebSocket over TLS (WSS) is used for all WebSocket connections.</t>
        </is>
      </c>
      <c r="E18" s="38" t="n">
        <v>1</v>
      </c>
      <c r="F18" s="39" t="inlineStr">
        <is>
          <t>N/A</t>
        </is>
      </c>
      <c r="G18" s="34" t="inlineStr">
        <is>
          <t>Automatically marked out of scope: No WebSocket endpoint or WebSocket dependency is present.</t>
        </is>
      </c>
      <c r="H18" s="34" t="inlineStr">
        <is>
          <t>Automated scope inference</t>
        </is>
      </c>
      <c r="I18" s="30" t="inlineStr">
        <is>
          <t>Out of scope for VendNet as currently implemented, or the requirement does not apply to this REST API/backend.</t>
        </is>
      </c>
      <c r="J18" s="30" t="inlineStr">
        <is>
          <t>Scope inference</t>
        </is>
      </c>
      <c r="K18" s="30" t="inlineStr">
        <is>
          <t>Not required for current backend scope.</t>
        </is>
      </c>
      <c r="L18" s="30" t="inlineStr">
        <is>
          <t>No WebSocket endpoint or WebSocket dependency is present.</t>
        </is>
      </c>
      <c r="M18" s="30" t="inlineStr">
        <is>
          <t>Revisit if the application scope changes.</t>
        </is>
      </c>
    </row>
    <row r="19" ht="30" customHeight="1" s="26">
      <c r="A19" s="37" t="inlineStr">
        <is>
          <t>V4.4</t>
        </is>
      </c>
      <c r="B19" s="37" t="inlineStr">
        <is>
          <t>WebSocket</t>
        </is>
      </c>
      <c r="C19" s="37" t="inlineStr">
        <is>
          <t>V4.4.2</t>
        </is>
      </c>
      <c r="D19" s="37" t="inlineStr">
        <is>
          <t>Verify that, during the initial HTTP WebSocket handshake, the Origin header field is checked against a list of origins allowed for the application.</t>
        </is>
      </c>
      <c r="E19" s="35" t="n">
        <v>2</v>
      </c>
      <c r="F19" s="39" t="inlineStr">
        <is>
          <t>N/A</t>
        </is>
      </c>
      <c r="G19" s="37" t="inlineStr">
        <is>
          <t>Automatically marked out of scope: No WebSocket endpoint or WebSocket dependency is present.</t>
        </is>
      </c>
      <c r="H19" s="37" t="inlineStr">
        <is>
          <t>Automated scope inference</t>
        </is>
      </c>
      <c r="I19" s="30" t="inlineStr">
        <is>
          <t>Out of scope for VendNet as currently implemented, or the requirement does not apply to this REST API/backend.</t>
        </is>
      </c>
      <c r="J19" s="30" t="inlineStr">
        <is>
          <t>Scope inference</t>
        </is>
      </c>
      <c r="K19" s="30" t="inlineStr">
        <is>
          <t>Not required for current backend scope.</t>
        </is>
      </c>
      <c r="L19" s="30" t="inlineStr">
        <is>
          <t>No WebSocket endpoint or WebSocket dependency is present.</t>
        </is>
      </c>
      <c r="M19" s="30" t="inlineStr">
        <is>
          <t>Revisit if the application scope changes.</t>
        </is>
      </c>
    </row>
    <row r="20" ht="30" customHeight="1" s="26">
      <c r="A20" s="34" t="inlineStr">
        <is>
          <t>V4.4</t>
        </is>
      </c>
      <c r="B20" s="34" t="inlineStr">
        <is>
          <t>WebSocket</t>
        </is>
      </c>
      <c r="C20" s="34" t="inlineStr">
        <is>
          <t>V4.4.3</t>
        </is>
      </c>
      <c r="D20" s="34" t="inlineStr">
        <is>
          <t>Verify that, if the application's standard session management cannot be used, dedicated tokens are being used for this, which comply with the relevant Session Management security requirements.</t>
        </is>
      </c>
      <c r="E20" s="35" t="n">
        <v>2</v>
      </c>
      <c r="F20" s="36" t="inlineStr">
        <is>
          <t>Compliant</t>
        </is>
      </c>
      <c r="G20" s="34" t="inlineStr">
        <is>
          <t>Automatically marked compliant from passing evidence: JWT signature and algorithm validation; JWT key strength and server-side signing.</t>
        </is>
      </c>
      <c r="H20" s="34" t="inlineStr">
        <is>
          <t>SR-03; SR-04; AbuseCaseRegressionTest; JwtServiceTest; JwtAuthenticationFilterTest; JWT service and signing/filter code detected</t>
        </is>
      </c>
      <c r="I20" s="30" t="inlineStr">
        <is>
          <t>Automatically inferred as implemented or justified from passing tests, source code, configuration, or build artifacts.</t>
        </is>
      </c>
      <c r="J20" s="30" t="inlineStr">
        <is>
          <t>Automated repository evidence</t>
        </is>
      </c>
      <c r="K20" s="30" t="inlineStr">
        <is>
          <t>AbuseCaseRegressionTest; JwtServiceTest; JwtAuthenticationFilterTest; JWT service and signing/filter code detected</t>
        </is>
      </c>
      <c r="L20" s="30" t="inlineStr">
        <is>
          <t>JWT signature and algorithm validation; JWT key strength and server-side signing</t>
        </is>
      </c>
      <c r="M20" s="30" t="inlineStr">
        <is>
          <t>Keep make asvs-tracker passing; reassess if code, tests, or scope changes.</t>
        </is>
      </c>
    </row>
    <row r="21" ht="30" customHeight="1" s="26">
      <c r="A21" s="37" t="inlineStr">
        <is>
          <t>V4.4</t>
        </is>
      </c>
      <c r="B21" s="37" t="inlineStr">
        <is>
          <t>WebSocket</t>
        </is>
      </c>
      <c r="C21" s="37" t="inlineStr">
        <is>
          <t>V4.4.4</t>
        </is>
      </c>
      <c r="D21" s="37" t="inlineStr">
        <is>
          <t>Verify that dedicated WebSocket session management tokens are initially obtained or validated through the previously authenticated HTTPS session when transitioning an existing HTTPS session to a WebSocket channel.</t>
        </is>
      </c>
      <c r="E21" s="35" t="n">
        <v>2</v>
      </c>
      <c r="F21" s="39" t="inlineStr">
        <is>
          <t>N/A</t>
        </is>
      </c>
      <c r="G21" s="37" t="inlineStr">
        <is>
          <t>Automatically marked out of scope: No WebSocket endpoint or WebSocket dependency is present.</t>
        </is>
      </c>
      <c r="H21" s="37" t="inlineStr">
        <is>
          <t>Automated scope inference</t>
        </is>
      </c>
      <c r="I21" s="30" t="inlineStr">
        <is>
          <t>Out of scope for VendNet as currently implemented, or the requirement does not apply to this REST API/backend.</t>
        </is>
      </c>
      <c r="J21" s="30" t="inlineStr">
        <is>
          <t>Scope inference</t>
        </is>
      </c>
      <c r="K21" s="30" t="inlineStr">
        <is>
          <t>Not required for current backend scope.</t>
        </is>
      </c>
      <c r="L21" s="30" t="inlineStr">
        <is>
          <t>No WebSocket endpoint or WebSocket dependency is present.</t>
        </is>
      </c>
      <c r="M21" s="30" t="inlineStr">
        <is>
          <t>Revisit if the application scope changes.</t>
        </is>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7.xml><?xml version="1.0" encoding="utf-8"?>
<worksheet xmlns="http://schemas.openxmlformats.org/spreadsheetml/2006/main">
  <sheetPr>
    <outlinePr summaryBelow="1" summaryRight="1"/>
    <pageSetUpPr/>
  </sheetPr>
  <dimension ref="A1:M18"/>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V5.1</t>
        </is>
      </c>
      <c r="B2" s="33" t="inlineStr">
        <is>
          <t>File Handling Documentation</t>
        </is>
      </c>
      <c r="C2" s="33" t="n"/>
      <c r="D2" s="33" t="n"/>
      <c r="E2" s="33" t="n"/>
      <c r="F2" s="33" t="n"/>
      <c r="G2" s="33" t="n"/>
      <c r="H2" s="33" t="n"/>
      <c r="I2" s="30" t="n"/>
      <c r="J2" s="30" t="n"/>
      <c r="K2" s="30" t="n"/>
      <c r="L2" s="30" t="n"/>
      <c r="M2" s="30" t="n"/>
    </row>
    <row r="3" ht="30" customHeight="1" s="26">
      <c r="A3" s="34" t="inlineStr">
        <is>
          <t>V5.1</t>
        </is>
      </c>
      <c r="B3" s="34" t="inlineStr">
        <is>
          <t>File Handling Documentation</t>
        </is>
      </c>
      <c r="C3" s="34" t="inlineStr">
        <is>
          <t>V5.1.1</t>
        </is>
      </c>
      <c r="D3" s="34"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35" t="n">
        <v>2</v>
      </c>
      <c r="F3" s="36" t="inlineStr">
        <is>
          <t>Compliant</t>
        </is>
      </c>
      <c r="G3" s="34" t="inlineStr">
        <is>
          <t>Automatically marked compliant from passing evidence: path traversal and report sandboxing; unsafe path/link handling; path traversal abuse-case regression.</t>
        </is>
      </c>
      <c r="H3" s="34" t="inlineStr">
        <is>
          <t>SR-26; SR-27; AC-06; PathValidatorImplTest; ReportDirectoryServiceImplTest; AbuseCaseRegressionTest; path validation and report sandbox code detected</t>
        </is>
      </c>
      <c r="I3" s="30" t="inlineStr">
        <is>
          <t>Automatically inferred as implemented or justified from passing tests, source code, configuration, or build artifacts.</t>
        </is>
      </c>
      <c r="J3" s="30" t="inlineStr">
        <is>
          <t>Automated repository evidence</t>
        </is>
      </c>
      <c r="K3" s="30" t="inlineStr">
        <is>
          <t>PathValidatorImplTest; ReportDirectoryServiceImplTest; AbuseCaseRegressionTest; path validation and report sandbox code detected</t>
        </is>
      </c>
      <c r="L3" s="30" t="inlineStr">
        <is>
          <t>path traversal and report sandboxing; unsafe path/link handling; path traversal abuse-case regression</t>
        </is>
      </c>
      <c r="M3" s="30" t="inlineStr">
        <is>
          <t>Keep make asvs-tracker passing; reassess if code, tests, or scope changes.</t>
        </is>
      </c>
    </row>
    <row r="4" ht="18" customHeight="1" s="26">
      <c r="A4" s="33" t="inlineStr">
        <is>
          <t>V5.2</t>
        </is>
      </c>
      <c r="B4" s="33" t="inlineStr">
        <is>
          <t>File Upload and Content</t>
        </is>
      </c>
      <c r="C4" s="33" t="n"/>
      <c r="D4" s="33" t="n"/>
      <c r="E4" s="33" t="n"/>
      <c r="F4" s="33" t="n"/>
      <c r="G4" s="33" t="n"/>
      <c r="H4" s="33" t="n"/>
      <c r="I4" s="30" t="n"/>
      <c r="J4" s="30" t="n"/>
      <c r="K4" s="30" t="n"/>
      <c r="L4" s="30" t="n"/>
      <c r="M4" s="30" t="n"/>
    </row>
    <row r="5" ht="30" customHeight="1" s="26">
      <c r="A5" s="34" t="inlineStr">
        <is>
          <t>V5.2</t>
        </is>
      </c>
      <c r="B5" s="34" t="inlineStr">
        <is>
          <t>File Upload and Content</t>
        </is>
      </c>
      <c r="C5" s="34" t="inlineStr">
        <is>
          <t>V5.2.1</t>
        </is>
      </c>
      <c r="D5" s="34" t="inlineStr">
        <is>
          <t>Verify that the application will only accept files of a size which it can process without causing a loss of performance or a denial of service attack.</t>
        </is>
      </c>
      <c r="E5" s="38" t="n">
        <v>1</v>
      </c>
      <c r="F5" s="36" t="inlineStr">
        <is>
          <t>Compliant</t>
        </is>
      </c>
      <c r="G5" s="34" t="inlineStr">
        <is>
          <t>Automatically marked compliant from passing evidence: payload/request limit coverage; path traversal and report sandboxing; unsafe path/link handling; path traversal abuse-case regression.</t>
        </is>
      </c>
      <c r="H5" s="34" t="inlineStr">
        <is>
          <t>SR-30; SR-26; SR-27; AC-06; SystemFunctionalTests; application.properties; PathValidatorImplTest; ReportDirectoryServiceImplTest; AbuseCaseRegressionTest; Bean Validation and request-shape controls detected; path validation and report sandbox code detected</t>
        </is>
      </c>
      <c r="I5" s="30" t="inlineStr">
        <is>
          <t>Automatically inferred as implemented or justified from passing tests, source code, configuration, or build artifacts.</t>
        </is>
      </c>
      <c r="J5" s="30" t="inlineStr">
        <is>
          <t>Automated repository evidence</t>
        </is>
      </c>
      <c r="K5" s="30" t="inlineStr">
        <is>
          <t>SystemFunctionalTests; application.properties; PathValidatorImplTest; ReportDirectoryServiceImplTest; AbuseCaseRegressionTest; Bean Validation and request-shape controls detected; path validation and report sandbox code detected</t>
        </is>
      </c>
      <c r="L5" s="30" t="inlineStr">
        <is>
          <t>payload/request limit coverage; path traversal and report sandboxing; unsafe path/link handling; path traversal abuse-case regression</t>
        </is>
      </c>
      <c r="M5" s="30" t="inlineStr">
        <is>
          <t>Keep make asvs-tracker passing; reassess if code, tests, or scope changes.</t>
        </is>
      </c>
    </row>
    <row r="6" ht="30" customHeight="1" s="26">
      <c r="A6" s="37" t="inlineStr">
        <is>
          <t>V5.2</t>
        </is>
      </c>
      <c r="B6" s="37" t="inlineStr">
        <is>
          <t>File Upload and Content</t>
        </is>
      </c>
      <c r="C6" s="37" t="inlineStr">
        <is>
          <t>V5.2.2</t>
        </is>
      </c>
      <c r="D6" s="37"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38" t="n">
        <v>1</v>
      </c>
      <c r="F6" s="36" t="inlineStr">
        <is>
          <t>Compliant</t>
        </is>
      </c>
      <c r="G6" s="37" t="inlineStr">
        <is>
          <t>Automatically marked compliant from passing evidence: input shape/range validation; unknown-field rejection; payload/request limit coverage; path traversal and report sandboxing; unsafe path/link handling; path traversal abuse-case regression.</t>
        </is>
      </c>
      <c r="H6" s="37" t="inlineStr">
        <is>
          <t>SR-28; SR-29; SR-30; SR-26; SR-27; AC-06; ControllerIntegrationTests; SystemFunctionalTests; ControllerUnitTests; GlobalExceptionHandlerTest; application.properties; PathValidatorImplTest; ReportDirectoryServiceImplTest; AbuseCaseRegressionTest; Bean Validation and request-shape controls detected; path validation and report sandbox code detected</t>
        </is>
      </c>
      <c r="I6" s="30" t="inlineStr">
        <is>
          <t>Automatically inferred as implemented or justified from passing tests, source code, configuration, or build artifacts.</t>
        </is>
      </c>
      <c r="J6" s="30" t="inlineStr">
        <is>
          <t>Automated repository evidence</t>
        </is>
      </c>
      <c r="K6" s="30" t="inlineStr">
        <is>
          <t>ControllerIntegrationTests; SystemFunctionalTests; ControllerUnitTests; GlobalExceptionHandlerTest; application.properties; PathValidatorImplTest; ReportDirectoryServiceImplTest; AbuseCaseRegressionTest; Bean Validation and request-shape controls detected; path validation and report sandbox code detected</t>
        </is>
      </c>
      <c r="L6" s="30" t="inlineStr">
        <is>
          <t>input shape/range validation; unknown-field rejection; payload/request limit coverage; path traversal and report sandboxing; unsafe path/link handling; path traversal abuse-case regression</t>
        </is>
      </c>
      <c r="M6" s="30" t="inlineStr">
        <is>
          <t>Keep make asvs-tracker passing; reassess if code, tests, or scope changes.</t>
        </is>
      </c>
    </row>
    <row r="7" ht="30" customHeight="1" s="26">
      <c r="A7" s="34" t="inlineStr">
        <is>
          <t>V5.2</t>
        </is>
      </c>
      <c r="B7" s="34" t="inlineStr">
        <is>
          <t>File Upload and Content</t>
        </is>
      </c>
      <c r="C7" s="34" t="inlineStr">
        <is>
          <t>V5.2.3</t>
        </is>
      </c>
      <c r="D7" s="34" t="inlineStr">
        <is>
          <t>Verify that the application checks compressed files (e.g., zip, gz, docx, odt) against maximum allowed uncompressed size and against maximum number of files before uncompressing the file.</t>
        </is>
      </c>
      <c r="E7" s="35" t="n">
        <v>2</v>
      </c>
      <c r="F7" s="36" t="inlineStr">
        <is>
          <t>Compliant</t>
        </is>
      </c>
      <c r="G7" s="34" t="inlineStr">
        <is>
          <t>Automatically marked compliant from passing evidence: path traversal and report sandboxing; unsafe path/link handling; path traversal abuse-case regression.</t>
        </is>
      </c>
      <c r="H7" s="34" t="inlineStr">
        <is>
          <t>SR-26; SR-27; AC-06; PathValidatorImplTest; ReportDirectoryServiceImplTest; AbuseCaseRegressionTest; path validation and report sandbox code detected</t>
        </is>
      </c>
      <c r="I7" s="30" t="inlineStr">
        <is>
          <t>Automatically inferred as implemented or justified from passing tests, source code, configuration, or build artifacts.</t>
        </is>
      </c>
      <c r="J7" s="30" t="inlineStr">
        <is>
          <t>Automated repository evidence</t>
        </is>
      </c>
      <c r="K7" s="30" t="inlineStr">
        <is>
          <t>PathValidatorImplTest; ReportDirectoryServiceImplTest; AbuseCaseRegressionTest; path validation and report sandbox code detected</t>
        </is>
      </c>
      <c r="L7" s="30" t="inlineStr">
        <is>
          <t>path traversal and report sandboxing; unsafe path/link handling; path traversal abuse-case regression</t>
        </is>
      </c>
      <c r="M7" s="30" t="inlineStr">
        <is>
          <t>Keep make asvs-tracker passing; reassess if code, tests, or scope changes.</t>
        </is>
      </c>
    </row>
    <row r="8" ht="30" customHeight="1" s="26">
      <c r="A8" s="37" t="inlineStr">
        <is>
          <t>V5.2</t>
        </is>
      </c>
      <c r="B8" s="37" t="inlineStr">
        <is>
          <t>File Upload and Content</t>
        </is>
      </c>
      <c r="C8" s="37" t="inlineStr">
        <is>
          <t>V5.2.4</t>
        </is>
      </c>
      <c r="D8" s="37" t="inlineStr">
        <is>
          <t>Verify that a file size quota and maximum number of files per user are enforced to ensure that a single user cannot fill up the storage with too many files, or excessively large files.</t>
        </is>
      </c>
      <c r="E8" s="40" t="n">
        <v>3</v>
      </c>
      <c r="F8" s="36" t="inlineStr">
        <is>
          <t>Compliant</t>
        </is>
      </c>
      <c r="G8" s="37" t="inlineStr">
        <is>
          <t>Automatically marked compliant from passing evidence: path traversal and report sandboxing; unsafe path/link handling; path traversal abuse-case regression.</t>
        </is>
      </c>
      <c r="H8" s="37" t="inlineStr">
        <is>
          <t>SR-26; SR-27; AC-06; PathValidatorImplTest; ReportDirectoryServiceImplTest; AbuseCaseRegressionTest; path validation and report sandbox code detected</t>
        </is>
      </c>
      <c r="I8" s="30" t="inlineStr">
        <is>
          <t>Automatically inferred as implemented or justified from passing tests, source code, configuration, or build artifacts.</t>
        </is>
      </c>
      <c r="J8" s="30" t="inlineStr">
        <is>
          <t>Automated repository evidence</t>
        </is>
      </c>
      <c r="K8" s="30" t="inlineStr">
        <is>
          <t>PathValidatorImplTest; ReportDirectoryServiceImplTest; AbuseCaseRegressionTest; path validation and report sandbox code detected</t>
        </is>
      </c>
      <c r="L8" s="30" t="inlineStr">
        <is>
          <t>path traversal and report sandboxing; unsafe path/link handling; path traversal abuse-case regression</t>
        </is>
      </c>
      <c r="M8" s="30" t="inlineStr">
        <is>
          <t>Keep make asvs-tracker passing; reassess if code, tests, or scope changes.</t>
        </is>
      </c>
    </row>
    <row r="9" ht="30" customHeight="1" s="26">
      <c r="A9" s="34" t="inlineStr">
        <is>
          <t>V5.2</t>
        </is>
      </c>
      <c r="B9" s="34" t="inlineStr">
        <is>
          <t>File Upload and Content</t>
        </is>
      </c>
      <c r="C9" s="34" t="inlineStr">
        <is>
          <t>V5.2.5</t>
        </is>
      </c>
      <c r="D9" s="34" t="inlineStr">
        <is>
          <t>Verify that the application does not allow uploading compressed files containing symlinks unless this is specifically required (in which case it will be necessary to enforce an allowlist of the files that can be symlinked to).</t>
        </is>
      </c>
      <c r="E9" s="40" t="n">
        <v>3</v>
      </c>
      <c r="F9" s="36" t="inlineStr">
        <is>
          <t>Compliant</t>
        </is>
      </c>
      <c r="G9" s="34" t="inlineStr">
        <is>
          <t>Automatically marked compliant from passing evidence: unsafe path/link handling; path traversal and report sandboxing; path traversal abuse-case regression.</t>
        </is>
      </c>
      <c r="H9" s="34" t="inlineStr">
        <is>
          <t>SR-27; SR-26; AC-06; PathValidatorImplTest; ReportDirectoryServiceImplTest; AbuseCaseRegressionTest; path validation and report sandbox code detected</t>
        </is>
      </c>
      <c r="I9" s="30" t="inlineStr">
        <is>
          <t>Automatically inferred as implemented or justified from passing tests, source code, configuration, or build artifacts.</t>
        </is>
      </c>
      <c r="J9" s="30" t="inlineStr">
        <is>
          <t>Automated repository evidence</t>
        </is>
      </c>
      <c r="K9" s="30" t="inlineStr">
        <is>
          <t>PathValidatorImplTest; ReportDirectoryServiceImplTest; AbuseCaseRegressionTest; path validation and report sandbox code detected</t>
        </is>
      </c>
      <c r="L9" s="30" t="inlineStr">
        <is>
          <t>unsafe path/link handling; path traversal and report sandboxing; path traversal abuse-case regression</t>
        </is>
      </c>
      <c r="M9" s="30" t="inlineStr">
        <is>
          <t>Keep make asvs-tracker passing; reassess if code, tests, or scope changes.</t>
        </is>
      </c>
    </row>
    <row r="10" ht="30" customHeight="1" s="26">
      <c r="A10" s="37" t="inlineStr">
        <is>
          <t>V5.2</t>
        </is>
      </c>
      <c r="B10" s="37" t="inlineStr">
        <is>
          <t>File Upload and Content</t>
        </is>
      </c>
      <c r="C10" s="37" t="inlineStr">
        <is>
          <t>V5.2.6</t>
        </is>
      </c>
      <c r="D10" s="37" t="inlineStr">
        <is>
          <t>Verify that the application rejects uploaded images with a pixel size larger than the maximum allowed, to prevent pixel flood attacks.</t>
        </is>
      </c>
      <c r="E10" s="40" t="n">
        <v>3</v>
      </c>
      <c r="F10" s="36" t="inlineStr">
        <is>
          <t>Compliant</t>
        </is>
      </c>
      <c r="G10" s="37" t="inlineStr">
        <is>
          <t>Automatically marked compliant from passing evidence: path traversal and report sandboxing; unsafe path/link handling; path traversal abuse-case regression.</t>
        </is>
      </c>
      <c r="H10" s="37" t="inlineStr">
        <is>
          <t>SR-26; SR-27; AC-06; PathValidatorImplTest; ReportDirectoryServiceImplTest; AbuseCaseRegressionTest; path validation and report sandbox code detected</t>
        </is>
      </c>
      <c r="I10" s="30" t="inlineStr">
        <is>
          <t>Automatically inferred as implemented or justified from passing tests, source code, configuration, or build artifacts.</t>
        </is>
      </c>
      <c r="J10" s="30" t="inlineStr">
        <is>
          <t>Automated repository evidence</t>
        </is>
      </c>
      <c r="K10" s="30" t="inlineStr">
        <is>
          <t>PathValidatorImplTest; ReportDirectoryServiceImplTest; AbuseCaseRegressionTest; path validation and report sandbox code detected</t>
        </is>
      </c>
      <c r="L10" s="30" t="inlineStr">
        <is>
          <t>path traversal and report sandboxing; unsafe path/link handling; path traversal abuse-case regression</t>
        </is>
      </c>
      <c r="M10" s="30" t="inlineStr">
        <is>
          <t>Keep make asvs-tracker passing; reassess if code, tests, or scope changes.</t>
        </is>
      </c>
    </row>
    <row r="11" ht="18" customHeight="1" s="26">
      <c r="A11" s="33" t="inlineStr">
        <is>
          <t>V5.3</t>
        </is>
      </c>
      <c r="B11" s="33" t="inlineStr">
        <is>
          <t>File Storage</t>
        </is>
      </c>
      <c r="C11" s="33" t="n"/>
      <c r="D11" s="33" t="n"/>
      <c r="E11" s="33" t="n"/>
      <c r="F11" s="33" t="n"/>
      <c r="G11" s="33" t="n"/>
      <c r="H11" s="33" t="n"/>
      <c r="I11" s="30" t="n"/>
      <c r="J11" s="30" t="n"/>
      <c r="K11" s="30" t="n"/>
      <c r="L11" s="30" t="n"/>
      <c r="M11" s="30" t="n"/>
    </row>
    <row r="12" ht="30" customHeight="1" s="26">
      <c r="A12" s="34" t="inlineStr">
        <is>
          <t>V5.3</t>
        </is>
      </c>
      <c r="B12" s="34" t="inlineStr">
        <is>
          <t>File Storage</t>
        </is>
      </c>
      <c r="C12" s="34" t="inlineStr">
        <is>
          <t>V5.3.1</t>
        </is>
      </c>
      <c r="D12" s="34" t="inlineStr">
        <is>
          <t>Verify that files uploaded or generated by untrusted input and stored in a public folder, are not executed as server-side program code when accessed directly with an HTTP request.</t>
        </is>
      </c>
      <c r="E12" s="38" t="n">
        <v>1</v>
      </c>
      <c r="F12" s="36" t="inlineStr">
        <is>
          <t>Compliant</t>
        </is>
      </c>
      <c r="G12" s="34" t="inlineStr">
        <is>
          <t>Automatically marked compliant from passing evidence: input shape/range validation; unknown-field rejection; payload/request limit coverage; path traversal and report sandboxing; unsafe path/link handling; path traversal abuse-case regression.</t>
        </is>
      </c>
      <c r="H12" s="34" t="inlineStr">
        <is>
          <t>NFR-11; SR-28; SR-29; SR-30; SR-26; SR-27; AC-06; ControllerIntegrationTests; SystemFunctionalTests; ControllerUnitTests; GlobalExceptionHandlerTest; application.properties; PathValidatorImplTest; ReportDirectoryServiceImplTest; AbuseCaseRegressionTest; Bean Validation and request-shape controls detected; path validation and report sandbox code detected</t>
        </is>
      </c>
      <c r="I12" s="30" t="inlineStr">
        <is>
          <t>Automatically inferred as implemented or justified from passing tests, source code, configuration, or build artifacts.</t>
        </is>
      </c>
      <c r="J12" s="30" t="inlineStr">
        <is>
          <t>Automated repository evidence</t>
        </is>
      </c>
      <c r="K12" s="30" t="inlineStr">
        <is>
          <t>ControllerIntegrationTests; SystemFunctionalTests; ControllerUnitTests; GlobalExceptionHandlerTest; application.properties; PathValidatorImplTest; ReportDirectoryServiceImplTest; AbuseCaseRegressionTest; Bean Validation and request-shape controls detected; path validation and report sandbox code detected</t>
        </is>
      </c>
      <c r="L12" s="30" t="inlineStr">
        <is>
          <t>input shape/range validation; unknown-field rejection; payload/request limit coverage; path traversal and report sandboxing; unsafe path/link handling; path traversal abuse-case regression</t>
        </is>
      </c>
      <c r="M12" s="30" t="inlineStr">
        <is>
          <t>Keep make asvs-tracker passing; reassess if code, tests, or scope changes.</t>
        </is>
      </c>
    </row>
    <row r="13" ht="30" customHeight="1" s="26">
      <c r="A13" s="37" t="inlineStr">
        <is>
          <t>V5.3</t>
        </is>
      </c>
      <c r="B13" s="37" t="inlineStr">
        <is>
          <t>File Storage</t>
        </is>
      </c>
      <c r="C13" s="37" t="inlineStr">
        <is>
          <t>V5.3.2</t>
        </is>
      </c>
      <c r="D13" s="37"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38" t="n">
        <v>1</v>
      </c>
      <c r="F13" s="36" t="inlineStr">
        <is>
          <t>Compliant</t>
        </is>
      </c>
      <c r="G13" s="37" t="inlineStr">
        <is>
          <t>Automatically marked compliant from passing evidence: path traversal and report sandboxing; input shape/range validation; unknown-field rejection; payload/request limit coverage; unsafe path/link handling; path traversal abuse-case regression.</t>
        </is>
      </c>
      <c r="H13" s="37" t="inlineStr">
        <is>
          <t>SR-26; SR-28; SR-29; SR-30; SR-27; AC-06; PathValidatorImplTest; ReportDirectoryServiceImplTest; AbuseCaseRegressionTest; ControllerIntegrationTests; SystemFunctionalTests; ControllerUnitTests; GlobalExceptionHandlerTest; application.properties; Bean Validation and request-shape controls detected; path validation and report sandbox code detected</t>
        </is>
      </c>
      <c r="I13" s="30" t="inlineStr">
        <is>
          <t>Automatically inferred as implemented or justified from passing tests, source code, configuration, or build artifacts.</t>
        </is>
      </c>
      <c r="J13" s="30" t="inlineStr">
        <is>
          <t>Automated repository evidence</t>
        </is>
      </c>
      <c r="K13" s="30" t="inlineStr">
        <is>
          <t>PathValidatorImplTest; ReportDirectoryServiceImplTest; AbuseCaseRegressionTest; ControllerIntegrationTests; SystemFunctionalTests; ControllerUnitTests; GlobalExceptionHandlerTest; application.properties; Bean Validation and request-shape controls detected; path validation and report sandbox code detected</t>
        </is>
      </c>
      <c r="L13" s="30" t="inlineStr">
        <is>
          <t>path traversal and report sandboxing; input shape/range validation; unknown-field rejection; payload/request limit coverage; unsafe path/link handling; path traversal abuse-case regression</t>
        </is>
      </c>
      <c r="M13" s="30" t="inlineStr">
        <is>
          <t>Keep make asvs-tracker passing; reassess if code, tests, or scope changes.</t>
        </is>
      </c>
    </row>
    <row r="14" ht="30" customHeight="1" s="26">
      <c r="A14" s="34" t="inlineStr">
        <is>
          <t>V5.3</t>
        </is>
      </c>
      <c r="B14" s="34" t="inlineStr">
        <is>
          <t>File Storage</t>
        </is>
      </c>
      <c r="C14" s="34" t="inlineStr">
        <is>
          <t>V5.3.3</t>
        </is>
      </c>
      <c r="D14" s="34" t="inlineStr">
        <is>
          <t>Verify that server-side file processing, such as file decompression, ignores user-provided path information to prevent vulnerabilities such as zip slip.</t>
        </is>
      </c>
      <c r="E14" s="40" t="n">
        <v>3</v>
      </c>
      <c r="F14" s="36" t="inlineStr">
        <is>
          <t>Compliant</t>
        </is>
      </c>
      <c r="G14" s="34" t="inlineStr">
        <is>
          <t>Automatically marked compliant from passing evidence: path traversal and report sandboxing; unsafe path/link handling; path traversal abuse-case regression.</t>
        </is>
      </c>
      <c r="H14" s="34" t="inlineStr">
        <is>
          <t>SR-26; SR-27; AC-06; PathValidatorImplTest; ReportDirectoryServiceImplTest; AbuseCaseRegressionTest; path validation and report sandbox code detected</t>
        </is>
      </c>
      <c r="I14" s="30" t="inlineStr">
        <is>
          <t>Automatically inferred as implemented or justified from passing tests, source code, configuration, or build artifacts.</t>
        </is>
      </c>
      <c r="J14" s="30" t="inlineStr">
        <is>
          <t>Automated repository evidence</t>
        </is>
      </c>
      <c r="K14" s="30" t="inlineStr">
        <is>
          <t>PathValidatorImplTest; ReportDirectoryServiceImplTest; AbuseCaseRegressionTest; path validation and report sandbox code detected</t>
        </is>
      </c>
      <c r="L14" s="30" t="inlineStr">
        <is>
          <t>path traversal and report sandboxing; unsafe path/link handling; path traversal abuse-case regression</t>
        </is>
      </c>
      <c r="M14" s="30" t="inlineStr">
        <is>
          <t>Keep make asvs-tracker passing; reassess if code, tests, or scope changes.</t>
        </is>
      </c>
    </row>
    <row r="15" ht="18" customHeight="1" s="26">
      <c r="A15" s="33" t="inlineStr">
        <is>
          <t>V5.4</t>
        </is>
      </c>
      <c r="B15" s="33" t="inlineStr">
        <is>
          <t>File Download</t>
        </is>
      </c>
      <c r="C15" s="33" t="n"/>
      <c r="D15" s="33" t="n"/>
      <c r="E15" s="33" t="n"/>
      <c r="F15" s="33" t="n"/>
      <c r="G15" s="33" t="n"/>
      <c r="H15" s="33" t="n"/>
      <c r="I15" s="30" t="n"/>
      <c r="J15" s="30" t="n"/>
      <c r="K15" s="30" t="n"/>
      <c r="L15" s="30" t="n"/>
      <c r="M15" s="30" t="n"/>
    </row>
    <row r="16" ht="30" customHeight="1" s="26">
      <c r="A16" s="34" t="inlineStr">
        <is>
          <t>V5.4</t>
        </is>
      </c>
      <c r="B16" s="34" t="inlineStr">
        <is>
          <t>File Download</t>
        </is>
      </c>
      <c r="C16" s="34" t="inlineStr">
        <is>
          <t>V5.4.1</t>
        </is>
      </c>
      <c r="D16" s="34" t="inlineStr">
        <is>
          <t>Verify that the application validates or ignores user-submitted filenames, including in a JSON, JSONP, or URL parameter and specifies a filename in the Content-Disposition header field in the response.</t>
        </is>
      </c>
      <c r="E16" s="35" t="n">
        <v>2</v>
      </c>
      <c r="F16" s="36" t="inlineStr">
        <is>
          <t>Compliant</t>
        </is>
      </c>
      <c r="G16" s="34" t="inlineStr">
        <is>
          <t>Automatically marked compliant from passing evidence: path traversal and report sandboxing; unsafe path/link handling; path traversal abuse-case regression.</t>
        </is>
      </c>
      <c r="H16" s="34" t="inlineStr">
        <is>
          <t>SR-26; SR-27; AC-06; PathValidatorImplTest; ReportDirectoryServiceImplTest; AbuseCaseRegressionTest; path validation and report sandbox code detected</t>
        </is>
      </c>
      <c r="I16" s="30" t="inlineStr">
        <is>
          <t>Automatically inferred as implemented or justified from passing tests, source code, configuration, or build artifacts.</t>
        </is>
      </c>
      <c r="J16" s="30" t="inlineStr">
        <is>
          <t>Automated repository evidence</t>
        </is>
      </c>
      <c r="K16" s="30" t="inlineStr">
        <is>
          <t>PathValidatorImplTest; ReportDirectoryServiceImplTest; AbuseCaseRegressionTest; path validation and report sandbox code detected</t>
        </is>
      </c>
      <c r="L16" s="30" t="inlineStr">
        <is>
          <t>path traversal and report sandboxing; unsafe path/link handling; path traversal abuse-case regression</t>
        </is>
      </c>
      <c r="M16" s="30" t="inlineStr">
        <is>
          <t>Keep make asvs-tracker passing; reassess if code, tests, or scope changes.</t>
        </is>
      </c>
    </row>
    <row r="17" ht="30" customHeight="1" s="26">
      <c r="A17" s="37" t="inlineStr">
        <is>
          <t>V5.4</t>
        </is>
      </c>
      <c r="B17" s="37" t="inlineStr">
        <is>
          <t>File Download</t>
        </is>
      </c>
      <c r="C17" s="37" t="inlineStr">
        <is>
          <t>V5.4.2</t>
        </is>
      </c>
      <c r="D17" s="37" t="inlineStr">
        <is>
          <t>Verify that file names served (e.g., in HTTP response header fields or email attachments) are encoded or sanitized (e.g., following RFC 6266) to preserve document structure and prevent injection attacks.</t>
        </is>
      </c>
      <c r="E17" s="35" t="n">
        <v>2</v>
      </c>
      <c r="F17" s="36" t="inlineStr">
        <is>
          <t>Compliant</t>
        </is>
      </c>
      <c r="G17" s="37" t="inlineStr">
        <is>
          <t>Automatically marked compliant from passing evidence: path traversal and report sandboxing; SQL injection regression and taint checks; SQL injection abuse-case regression; unsafe path/link handling; path traversal abuse-case regression.</t>
        </is>
      </c>
      <c r="H17" s="37" t="inlineStr">
        <is>
          <t>SR-26; SR-09; AC-05; SR-27; AC-06; PathValidatorImplTest; ReportDirectoryServiceImplTest; AbuseCaseRegressionTest; IastIntegrationTest; path validation and report sandbox code detected</t>
        </is>
      </c>
      <c r="I17" s="30" t="inlineStr">
        <is>
          <t>Automatically inferred as implemented or justified from passing tests, source code, configuration, or build artifacts.</t>
        </is>
      </c>
      <c r="J17" s="30" t="inlineStr">
        <is>
          <t>Automated repository evidence</t>
        </is>
      </c>
      <c r="K17" s="30" t="inlineStr">
        <is>
          <t>PathValidatorImplTest; ReportDirectoryServiceImplTest; AbuseCaseRegressionTest; IastIntegrationTest; path validation and report sandbox code detected</t>
        </is>
      </c>
      <c r="L17" s="30" t="inlineStr">
        <is>
          <t>path traversal and report sandboxing; SQL injection regression and taint checks; SQL injection abuse-case regression; unsafe path/link handling; path traversal abuse-case regression</t>
        </is>
      </c>
      <c r="M17" s="30" t="inlineStr">
        <is>
          <t>Keep make asvs-tracker passing; reassess if code, tests, or scope changes.</t>
        </is>
      </c>
    </row>
    <row r="18" ht="30" customHeight="1" s="26">
      <c r="A18" s="34" t="inlineStr">
        <is>
          <t>V5.4</t>
        </is>
      </c>
      <c r="B18" s="34" t="inlineStr">
        <is>
          <t>File Download</t>
        </is>
      </c>
      <c r="C18" s="34" t="inlineStr">
        <is>
          <t>V5.4.3</t>
        </is>
      </c>
      <c r="D18" s="34" t="inlineStr">
        <is>
          <t>Verify that files obtained from untrusted sources are scanned by antivirus scanners to prevent serving of known malicious content.</t>
        </is>
      </c>
      <c r="E18" s="35" t="n">
        <v>2</v>
      </c>
      <c r="F18" s="36" t="inlineStr">
        <is>
          <t>Compliant</t>
        </is>
      </c>
      <c r="G18" s="34" t="inlineStr">
        <is>
          <t>Automatically marked compliant from passing evidence: path traversal and report sandboxing; unsafe path/link handling; path traversal abuse-case regression.</t>
        </is>
      </c>
      <c r="H18" s="34" t="inlineStr">
        <is>
          <t>SR-26; SR-27; AC-06; PathValidatorImplTest; ReportDirectoryServiceImplTest; AbuseCaseRegressionTest; path validation and report sandbox code detected</t>
        </is>
      </c>
      <c r="I18" s="30" t="inlineStr">
        <is>
          <t>Automatically inferred as implemented or justified from passing tests, source code, configuration, or build artifacts.</t>
        </is>
      </c>
      <c r="J18" s="30" t="inlineStr">
        <is>
          <t>Automated repository evidence</t>
        </is>
      </c>
      <c r="K18" s="30" t="inlineStr">
        <is>
          <t>PathValidatorImplTest; ReportDirectoryServiceImplTest; AbuseCaseRegressionTest; path validation and report sandbox code detected</t>
        </is>
      </c>
      <c r="L18" s="30" t="inlineStr">
        <is>
          <t>path traversal and report sandboxing; unsafe path/link handling; path traversal abuse-case regression</t>
        </is>
      </c>
      <c r="M18" s="30" t="inlineStr">
        <is>
          <t>Keep make asvs-tracker passing; reassess if code, tests, or scope changes.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8.xml><?xml version="1.0" encoding="utf-8"?>
<worksheet xmlns="http://schemas.openxmlformats.org/spreadsheetml/2006/main">
  <sheetPr>
    <outlinePr summaryBelow="1" summaryRight="1"/>
    <pageSetUpPr/>
  </sheetPr>
  <dimension ref="A1:M5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V6.1</t>
        </is>
      </c>
      <c r="B2" s="33" t="inlineStr">
        <is>
          <t>Authentication Documentation</t>
        </is>
      </c>
      <c r="C2" s="33" t="n"/>
      <c r="D2" s="33" t="n"/>
      <c r="E2" s="33" t="n"/>
      <c r="F2" s="33" t="n"/>
      <c r="G2" s="33" t="n"/>
      <c r="H2" s="33" t="n"/>
      <c r="I2" s="30" t="n"/>
      <c r="J2" s="30" t="n"/>
      <c r="K2" s="30" t="n"/>
      <c r="L2" s="30" t="n"/>
      <c r="M2" s="30" t="n"/>
    </row>
    <row r="3" ht="30" customHeight="1" s="26">
      <c r="A3" s="34" t="inlineStr">
        <is>
          <t>V6.1</t>
        </is>
      </c>
      <c r="B3" s="34" t="inlineStr">
        <is>
          <t>Authentication Documentation</t>
        </is>
      </c>
      <c r="C3" s="34" t="inlineStr">
        <is>
          <t>V6.1.1</t>
        </is>
      </c>
      <c r="D3" s="34"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38" t="n">
        <v>1</v>
      </c>
      <c r="F3" s="36" t="inlineStr">
        <is>
          <t>Compliant</t>
        </is>
      </c>
      <c r="G3" s="34" t="inlineStr">
        <is>
          <t>Automatically marked compliant from passing evidence: failed-login lockout behaviour; administrator MFA; account status validation.</t>
        </is>
      </c>
      <c r="H3" s="34" t="inlineStr">
        <is>
          <t>SR-07; NFR-07; SR-01; SR-05; AuthServiceTest; AuthControllerIntegrationTest; SystemFunctionalTests; MFA/TOTP code and tests detected</t>
        </is>
      </c>
      <c r="I3" s="30" t="inlineStr">
        <is>
          <t>Automatically inferred as implemented or justified from passing tests, source code, configuration, or build artifacts.</t>
        </is>
      </c>
      <c r="J3" s="30" t="inlineStr">
        <is>
          <t>Automated repository evidence</t>
        </is>
      </c>
      <c r="K3" s="30" t="inlineStr">
        <is>
          <t>AuthServiceTest; AuthControllerIntegrationTest; SystemFunctionalTests; MFA/TOTP code and tests detected</t>
        </is>
      </c>
      <c r="L3" s="30" t="inlineStr">
        <is>
          <t>failed-login lockout behaviour; administrator MFA; account status validation</t>
        </is>
      </c>
      <c r="M3" s="30" t="inlineStr">
        <is>
          <t>Keep make asvs-tracker passing; reassess if code, tests, or scope changes.</t>
        </is>
      </c>
    </row>
    <row r="4" ht="30" customHeight="1" s="26">
      <c r="A4" s="37" t="inlineStr">
        <is>
          <t>V6.1</t>
        </is>
      </c>
      <c r="B4" s="37" t="inlineStr">
        <is>
          <t>Authentication Documentation</t>
        </is>
      </c>
      <c r="C4" s="37" t="inlineStr">
        <is>
          <t>V6.1.2</t>
        </is>
      </c>
      <c r="D4" s="37" t="inlineStr">
        <is>
          <t>Verify that a list of context-specific words is documented in order to prevent their use in passwords. The list could include permutations of organization names, product names, system identifiers, project codenames, department or role names, and similar.</t>
        </is>
      </c>
      <c r="E4" s="35" t="n">
        <v>2</v>
      </c>
      <c r="F4" s="36" t="inlineStr">
        <is>
          <t>Compliant</t>
        </is>
      </c>
      <c r="G4" s="37" t="inlineStr">
        <is>
          <t>Automatically marked compliant from passing evidence: administrator MFA; account status validation; failed-login lockout behaviour; RBAC roles and endpoint isolation; controller/service authorization guardrails; user data access isolation.</t>
        </is>
      </c>
      <c r="H4" s="37" t="inlineStr">
        <is>
          <t>SR-01; SR-05; SR-07; SR-02; SR-06; SR-08; AuthServiceTest; AuthControllerIntegrationTest; SystemFunctionalTests; RbacIntegrationTest; SecurityAnnotationArchTest; MFA/TOTP code and tests detected; Spring method security and RBAC annotations detected</t>
        </is>
      </c>
      <c r="I4" s="30" t="inlineStr">
        <is>
          <t>Automatically inferred as implemented or justified from passing tests, source code, configuration, or build artifacts.</t>
        </is>
      </c>
      <c r="J4" s="30" t="inlineStr">
        <is>
          <t>Automated repository evidence</t>
        </is>
      </c>
      <c r="K4" s="30" t="inlineStr">
        <is>
          <t>AuthServiceTest; AuthControllerIntegrationTest; SystemFunctionalTests; RbacIntegrationTest; SecurityAnnotationArchTest; MFA/TOTP code and tests detected; Spring method security and RBAC annotations detected</t>
        </is>
      </c>
      <c r="L4" s="30" t="inlineStr">
        <is>
          <t>administrator MFA; account status validation; failed-login lockout behaviour; RBAC roles and endpoint isolation; controller/service authorization guardrails; user data access isolation</t>
        </is>
      </c>
      <c r="M4" s="30" t="inlineStr">
        <is>
          <t>Keep make asvs-tracker passing; reassess if code, tests, or scope changes.</t>
        </is>
      </c>
    </row>
    <row r="5" ht="30" customHeight="1" s="26">
      <c r="A5" s="34" t="inlineStr">
        <is>
          <t>V6.1</t>
        </is>
      </c>
      <c r="B5" s="34" t="inlineStr">
        <is>
          <t>Authentication Documentation</t>
        </is>
      </c>
      <c r="C5" s="34" t="inlineStr">
        <is>
          <t>V6.1.3</t>
        </is>
      </c>
      <c r="D5" s="34" t="inlineStr">
        <is>
          <t>Verify that, if the application includes multiple authentication pathways, these are all documented together with the security controls and authentication strength which must be consistently enforced across them.</t>
        </is>
      </c>
      <c r="E5" s="35" t="n">
        <v>2</v>
      </c>
      <c r="F5" s="36" t="inlineStr">
        <is>
          <t>Compliant</t>
        </is>
      </c>
      <c r="G5" s="34" t="inlineStr">
        <is>
          <t>Automatically marked compliant from passing evidence: administrator MFA; user data access isolation; account status validation; failed-login lockout behaviour; path traversal and report sandboxing; unsafe path/link handling; path traversal abuse-case regression.</t>
        </is>
      </c>
      <c r="H5" s="34" t="inlineStr">
        <is>
          <t>SR-01; SR-08; NFR-15; SR-05; SR-07; SR-26; SR-27; AC-06; AuthServiceTest; AuthControllerIntegrationTest; RbacIntegrationTest; SystemFunctionalTests; PathValidatorImplTest; ReportDirectoryServiceImplTest; AbuseCaseRegressionTest; MFA/TOTP code and tests detected; Spring method security and RBAC annotations detected; path validation and report sandbox code detected</t>
        </is>
      </c>
      <c r="I5" s="30" t="inlineStr">
        <is>
          <t>Automatically inferred as implemented or justified from passing tests, source code, configuration, or build artifacts.</t>
        </is>
      </c>
      <c r="J5" s="30" t="inlineStr">
        <is>
          <t>Automated repository evidence</t>
        </is>
      </c>
      <c r="K5" s="30" t="inlineStr">
        <is>
          <t>AuthServiceTest; AuthControllerIntegrationTest; RbacIntegrationTest; SystemFunctionalTests; PathValidatorImplTest; ReportDirectoryServiceImplTest; AbuseCaseRegressionTest; MFA/TOTP code and tests detected; Spring method security and RBAC annotations detected; path validation and report sandbox code detected</t>
        </is>
      </c>
      <c r="L5" s="30" t="inlineStr">
        <is>
          <t>administrator MFA; user data access isolation; account status validation; failed-login lockout behaviour; path traversal and report sandboxing; unsafe path/link handling; path traversal abuse-case regression</t>
        </is>
      </c>
      <c r="M5" s="30" t="inlineStr">
        <is>
          <t>Keep make asvs-tracker passing; reassess if code, tests, or scope changes.</t>
        </is>
      </c>
    </row>
    <row r="6" ht="18" customHeight="1" s="26">
      <c r="A6" s="33" t="inlineStr">
        <is>
          <t>V6.2</t>
        </is>
      </c>
      <c r="B6" s="33" t="inlineStr">
        <is>
          <t>Password Security</t>
        </is>
      </c>
      <c r="C6" s="33" t="n"/>
      <c r="D6" s="33" t="n"/>
      <c r="E6" s="33" t="n"/>
      <c r="F6" s="33" t="n"/>
      <c r="G6" s="33" t="n"/>
      <c r="H6" s="33" t="n"/>
      <c r="I6" s="30" t="n"/>
      <c r="J6" s="30" t="n"/>
      <c r="K6" s="30" t="n"/>
      <c r="L6" s="30" t="n"/>
      <c r="M6" s="30" t="n"/>
    </row>
    <row r="7" ht="30" customHeight="1" s="26">
      <c r="A7" s="34" t="inlineStr">
        <is>
          <t>V6.2</t>
        </is>
      </c>
      <c r="B7" s="34" t="inlineStr">
        <is>
          <t>Password Security</t>
        </is>
      </c>
      <c r="C7" s="34" t="inlineStr">
        <is>
          <t>V6.2.1</t>
        </is>
      </c>
      <c r="D7" s="34" t="inlineStr">
        <is>
          <t>Verify that user set passwords are at least 8 characters in length although a minimum of 15 characters is strongly recommended.</t>
        </is>
      </c>
      <c r="E7" s="38" t="n">
        <v>1</v>
      </c>
      <c r="F7" s="36" t="inlineStr">
        <is>
          <t>Compliant</t>
        </is>
      </c>
      <c r="G7" s="34" t="inlineStr">
        <is>
          <t>Automatically marked compliant from passing evidence: administrator MFA; account status validation; failed-login lockout behaviour.</t>
        </is>
      </c>
      <c r="H7" s="34" t="inlineStr">
        <is>
          <t>SR-01; SR-05; SR-07; AuthServiceTest; AuthControllerIntegrationTest; SystemFunctionalTests; MFA/TOTP code and tests detected</t>
        </is>
      </c>
      <c r="I7" s="30" t="inlineStr">
        <is>
          <t>Automatically inferred as implemented or justified from passing tests, source code, configuration, or build artifacts.</t>
        </is>
      </c>
      <c r="J7" s="30" t="inlineStr">
        <is>
          <t>Automated repository evidence</t>
        </is>
      </c>
      <c r="K7" s="30" t="inlineStr">
        <is>
          <t>AuthServiceTest; AuthControllerIntegrationTest; SystemFunctionalTests; MFA/TOTP code and tests detected</t>
        </is>
      </c>
      <c r="L7" s="30" t="inlineStr">
        <is>
          <t>administrator MFA; account status validation; failed-login lockout behaviour</t>
        </is>
      </c>
      <c r="M7" s="30" t="inlineStr">
        <is>
          <t>Keep make asvs-tracker passing; reassess if code, tests, or scope changes.</t>
        </is>
      </c>
    </row>
    <row r="8" ht="30" customHeight="1" s="26">
      <c r="A8" s="37" t="inlineStr">
        <is>
          <t>V6.2</t>
        </is>
      </c>
      <c r="B8" s="37" t="inlineStr">
        <is>
          <t>Password Security</t>
        </is>
      </c>
      <c r="C8" s="37" t="inlineStr">
        <is>
          <t>V6.2.2</t>
        </is>
      </c>
      <c r="D8" s="37" t="inlineStr">
        <is>
          <t>Verify that users can change their password.</t>
        </is>
      </c>
      <c r="E8" s="38" t="n">
        <v>1</v>
      </c>
      <c r="F8" s="36" t="inlineStr">
        <is>
          <t>Compliant</t>
        </is>
      </c>
      <c r="G8" s="37" t="inlineStr">
        <is>
          <t>Automatically marked compliant from passing evidence: administrator MFA; account status validation; failed-login lockout behaviour.</t>
        </is>
      </c>
      <c r="H8" s="37" t="inlineStr">
        <is>
          <t>SR-01; SR-05; SR-07; AuthServiceTest; AuthControllerIntegrationTest; SystemFunctionalTests; MFA/TOTP code and tests detected</t>
        </is>
      </c>
      <c r="I8" s="30" t="inlineStr">
        <is>
          <t>Automatically inferred as implemented or justified from passing tests, source code, configuration, or build artifacts.</t>
        </is>
      </c>
      <c r="J8" s="30" t="inlineStr">
        <is>
          <t>Automated repository evidence</t>
        </is>
      </c>
      <c r="K8" s="30" t="inlineStr">
        <is>
          <t>AuthServiceTest; AuthControllerIntegrationTest; SystemFunctionalTests; MFA/TOTP code and tests detected</t>
        </is>
      </c>
      <c r="L8" s="30" t="inlineStr">
        <is>
          <t>administrator MFA; account status validation; failed-login lockout behaviour</t>
        </is>
      </c>
      <c r="M8" s="30" t="inlineStr">
        <is>
          <t>Keep make asvs-tracker passing; reassess if code, tests, or scope changes.</t>
        </is>
      </c>
    </row>
    <row r="9" ht="30" customHeight="1" s="26">
      <c r="A9" s="34" t="inlineStr">
        <is>
          <t>V6.2</t>
        </is>
      </c>
      <c r="B9" s="34" t="inlineStr">
        <is>
          <t>Password Security</t>
        </is>
      </c>
      <c r="C9" s="34" t="inlineStr">
        <is>
          <t>V6.2.3</t>
        </is>
      </c>
      <c r="D9" s="34" t="inlineStr">
        <is>
          <t>Verify that password change functionality requires the user's current and new password.</t>
        </is>
      </c>
      <c r="E9" s="38" t="n">
        <v>1</v>
      </c>
      <c r="F9" s="36" t="inlineStr">
        <is>
          <t>Compliant</t>
        </is>
      </c>
      <c r="G9" s="34" t="inlineStr">
        <is>
          <t>Automatically marked compliant from passing evidence: administrator MFA; account status validation; failed-login lockout behaviour.</t>
        </is>
      </c>
      <c r="H9" s="34" t="inlineStr">
        <is>
          <t>SR-01; SR-05; SR-07; AuthServiceTest; AuthControllerIntegrationTest; SystemFunctionalTests; MFA/TOTP code and tests detected</t>
        </is>
      </c>
      <c r="I9" s="30" t="inlineStr">
        <is>
          <t>Automatically inferred as implemented or justified from passing tests, source code, configuration, or build artifacts.</t>
        </is>
      </c>
      <c r="J9" s="30" t="inlineStr">
        <is>
          <t>Automated repository evidence</t>
        </is>
      </c>
      <c r="K9" s="30" t="inlineStr">
        <is>
          <t>AuthServiceTest; AuthControllerIntegrationTest; SystemFunctionalTests; MFA/TOTP code and tests detected</t>
        </is>
      </c>
      <c r="L9" s="30" t="inlineStr">
        <is>
          <t>administrator MFA; account status validation; failed-login lockout behaviour</t>
        </is>
      </c>
      <c r="M9" s="30" t="inlineStr">
        <is>
          <t>Keep make asvs-tracker passing; reassess if code, tests, or scope changes.</t>
        </is>
      </c>
    </row>
    <row r="10" ht="30" customHeight="1" s="26">
      <c r="A10" s="37" t="inlineStr">
        <is>
          <t>V6.2</t>
        </is>
      </c>
      <c r="B10" s="37" t="inlineStr">
        <is>
          <t>Password Security</t>
        </is>
      </c>
      <c r="C10" s="37" t="inlineStr">
        <is>
          <t>V6.2.4</t>
        </is>
      </c>
      <c r="D10" s="37" t="inlineStr">
        <is>
          <t>Verify that passwords submitted during account registration or password change are checked against an available set of, at least, the top 3000 passwords which match the application's password policy, e.g. minimum length.</t>
        </is>
      </c>
      <c r="E10" s="38" t="n">
        <v>1</v>
      </c>
      <c r="F10" s="36" t="inlineStr">
        <is>
          <t>Compliant</t>
        </is>
      </c>
      <c r="G10" s="37" t="inlineStr">
        <is>
          <t>Automatically marked compliant from passing evidence: administrator MFA; account status validation; failed-login lockout behaviour.</t>
        </is>
      </c>
      <c r="H10" s="37" t="inlineStr">
        <is>
          <t>SR-01; SR-05; SR-07; AuthServiceTest; AuthControllerIntegrationTest; SystemFunctionalTests; MFA/TOTP code and tests detected</t>
        </is>
      </c>
      <c r="I10" s="30" t="inlineStr">
        <is>
          <t>Automatically inferred as implemented or justified from passing tests, source code, configuration, or build artifacts.</t>
        </is>
      </c>
      <c r="J10" s="30" t="inlineStr">
        <is>
          <t>Automated repository evidence</t>
        </is>
      </c>
      <c r="K10" s="30" t="inlineStr">
        <is>
          <t>AuthServiceTest; AuthControllerIntegrationTest; SystemFunctionalTests; MFA/TOTP code and tests detected</t>
        </is>
      </c>
      <c r="L10" s="30" t="inlineStr">
        <is>
          <t>administrator MFA; account status validation; failed-login lockout behaviour</t>
        </is>
      </c>
      <c r="M10" s="30" t="inlineStr">
        <is>
          <t>Keep make asvs-tracker passing; reassess if code, tests, or scope changes.</t>
        </is>
      </c>
    </row>
    <row r="11" ht="30" customHeight="1" s="26">
      <c r="A11" s="34" t="inlineStr">
        <is>
          <t>V6.2</t>
        </is>
      </c>
      <c r="B11" s="34" t="inlineStr">
        <is>
          <t>Password Security</t>
        </is>
      </c>
      <c r="C11" s="34" t="inlineStr">
        <is>
          <t>V6.2.5</t>
        </is>
      </c>
      <c r="D11" s="34" t="inlineStr">
        <is>
          <t>Verify that passwords of any composition can be used, without rules limiting the type of characters permitted. There must be no requirement for a minimum number of upper or lower case characters, numbers, or special characters.</t>
        </is>
      </c>
      <c r="E11" s="38" t="n">
        <v>1</v>
      </c>
      <c r="F11" s="36" t="inlineStr">
        <is>
          <t>Compliant</t>
        </is>
      </c>
      <c r="G11" s="34" t="inlineStr">
        <is>
          <t>Automatically marked compliant from passing evidence: administrator MFA; account status validation; failed-login lockout behaviour.</t>
        </is>
      </c>
      <c r="H11" s="34" t="inlineStr">
        <is>
          <t>SR-01; SR-05; SR-07; AuthServiceTest; AuthControllerIntegrationTest; SystemFunctionalTests; MFA/TOTP code and tests detected</t>
        </is>
      </c>
      <c r="I11" s="30" t="inlineStr">
        <is>
          <t>Automatically inferred as implemented or justified from passing tests, source code, configuration, or build artifacts.</t>
        </is>
      </c>
      <c r="J11" s="30" t="inlineStr">
        <is>
          <t>Automated repository evidence</t>
        </is>
      </c>
      <c r="K11" s="30" t="inlineStr">
        <is>
          <t>AuthServiceTest; AuthControllerIntegrationTest; SystemFunctionalTests; MFA/TOTP code and tests detected</t>
        </is>
      </c>
      <c r="L11" s="30" t="inlineStr">
        <is>
          <t>administrator MFA; account status validation; failed-login lockout behaviour</t>
        </is>
      </c>
      <c r="M11" s="30" t="inlineStr">
        <is>
          <t>Keep make asvs-tracker passing; reassess if code, tests, or scope changes.</t>
        </is>
      </c>
    </row>
    <row r="12" ht="30" customHeight="1" s="26">
      <c r="A12" s="37" t="inlineStr">
        <is>
          <t>V6.2</t>
        </is>
      </c>
      <c r="B12" s="37" t="inlineStr">
        <is>
          <t>Password Security</t>
        </is>
      </c>
      <c r="C12" s="37" t="inlineStr">
        <is>
          <t>V6.2.6</t>
        </is>
      </c>
      <c r="D12" s="37" t="inlineStr">
        <is>
          <t>Verify that password input fields use type=password to mask the entry. Applications may allow the user to temporarily view the entire masked password, or the last typed character of the password.</t>
        </is>
      </c>
      <c r="E12" s="38" t="n">
        <v>1</v>
      </c>
      <c r="F12" s="36" t="inlineStr">
        <is>
          <t>Compliant</t>
        </is>
      </c>
      <c r="G12" s="37" t="inlineStr">
        <is>
          <t>Automatically marked compliant from passing evidence: administrator MFA; account status validation; failed-login lockout behaviour; input shape/range validation; unknown-field rejection; payload/request limit coverage.</t>
        </is>
      </c>
      <c r="H12" s="37" t="inlineStr">
        <is>
          <t>SR-01; SR-05; SR-07; SR-28; SR-29; SR-30; AuthServiceTest; AuthControllerIntegrationTest; SystemFunctionalTests; ControllerIntegrationTests; ControllerUnitTests; GlobalExceptionHandlerTest; application.properties; MFA/TOTP code and tests detected; Bean Validation and request-shape controls detected</t>
        </is>
      </c>
      <c r="I12" s="30" t="inlineStr">
        <is>
          <t>Automatically inferred as implemented or justified from passing tests, source code, configuration, or build artifacts.</t>
        </is>
      </c>
      <c r="J12" s="30" t="inlineStr">
        <is>
          <t>Automated repository evidence</t>
        </is>
      </c>
      <c r="K12" s="30" t="inlineStr">
        <is>
          <t>AuthServiceTest; AuthControllerIntegrationTest; SystemFunctionalTests; ControllerIntegrationTests; ControllerUnitTests; GlobalExceptionHandlerTest; application.properties; MFA/TOTP code and tests detected; Bean Validation and request-shape controls detected</t>
        </is>
      </c>
      <c r="L12" s="30" t="inlineStr">
        <is>
          <t>administrator MFA; account status validation; failed-login lockout behaviour; input shape/range validation; unknown-field rejection; payload/request limit coverage</t>
        </is>
      </c>
      <c r="M12" s="30" t="inlineStr">
        <is>
          <t>Keep make asvs-tracker passing; reassess if code, tests, or scope changes.</t>
        </is>
      </c>
    </row>
    <row r="13" ht="30" customHeight="1" s="26">
      <c r="A13" s="34" t="inlineStr">
        <is>
          <t>V6.2</t>
        </is>
      </c>
      <c r="B13" s="34" t="inlineStr">
        <is>
          <t>Password Security</t>
        </is>
      </c>
      <c r="C13" s="34" t="inlineStr">
        <is>
          <t>V6.2.7</t>
        </is>
      </c>
      <c r="D13" s="34" t="inlineStr">
        <is>
          <t>Verify that "paste" functionality, browser password helpers, and external password managers are permitted.</t>
        </is>
      </c>
      <c r="E13" s="38" t="n">
        <v>1</v>
      </c>
      <c r="F13" s="39" t="inlineStr">
        <is>
          <t>N/A</t>
        </is>
      </c>
      <c r="G13" s="34" t="inlineStr">
        <is>
          <t>Automatically marked out of scope: No browser-rendered frontend surface is present in this repository.</t>
        </is>
      </c>
      <c r="H13" s="34" t="inlineStr">
        <is>
          <t>Automated scope inference</t>
        </is>
      </c>
      <c r="I13" s="30" t="inlineStr">
        <is>
          <t>Out of scope for VendNet as currently implemented, or the requirement does not apply to this REST API/backend.</t>
        </is>
      </c>
      <c r="J13" s="30" t="inlineStr">
        <is>
          <t>Scope inference</t>
        </is>
      </c>
      <c r="K13" s="30" t="inlineStr">
        <is>
          <t>Not required for current backend scope.</t>
        </is>
      </c>
      <c r="L13" s="30" t="inlineStr">
        <is>
          <t>No browser-rendered frontend surface is present in this repository.</t>
        </is>
      </c>
      <c r="M13" s="30" t="inlineStr">
        <is>
          <t>Revisit if the application scope changes.</t>
        </is>
      </c>
    </row>
    <row r="14" ht="30" customHeight="1" s="26">
      <c r="A14" s="37" t="inlineStr">
        <is>
          <t>V6.2</t>
        </is>
      </c>
      <c r="B14" s="37" t="inlineStr">
        <is>
          <t>Password Security</t>
        </is>
      </c>
      <c r="C14" s="37" t="inlineStr">
        <is>
          <t>V6.2.8</t>
        </is>
      </c>
      <c r="D14" s="37" t="inlineStr">
        <is>
          <t>Verify that the application verifies the user's password exactly as received from the user, without any modifications such as truncation or case transformation.</t>
        </is>
      </c>
      <c r="E14" s="38" t="n">
        <v>1</v>
      </c>
      <c r="F14" s="36" t="inlineStr">
        <is>
          <t>Compliant</t>
        </is>
      </c>
      <c r="G14" s="37" t="inlineStr">
        <is>
          <t>Automatically marked compliant from passing evidence: administrator MFA; account status validation; failed-login lockout behaviour.</t>
        </is>
      </c>
      <c r="H14" s="37" t="inlineStr">
        <is>
          <t>NFR-05; SR-01; SR-05; SR-07; AuthServiceTest; AuthControllerIntegrationTest; SystemFunctionalTests; MFA/TOTP code and tests detected</t>
        </is>
      </c>
      <c r="I14" s="30" t="inlineStr">
        <is>
          <t>Automatically inferred as implemented or justified from passing tests, source code, configuration, or build artifacts.</t>
        </is>
      </c>
      <c r="J14" s="30" t="inlineStr">
        <is>
          <t>Automated repository evidence</t>
        </is>
      </c>
      <c r="K14" s="30" t="inlineStr">
        <is>
          <t>AuthServiceTest; AuthControllerIntegrationTest; SystemFunctionalTests; MFA/TOTP code and tests detected</t>
        </is>
      </c>
      <c r="L14" s="30" t="inlineStr">
        <is>
          <t>administrator MFA; account status validation; failed-login lockout behaviour</t>
        </is>
      </c>
      <c r="M14" s="30" t="inlineStr">
        <is>
          <t>Keep make asvs-tracker passing; reassess if code, tests, or scope changes.</t>
        </is>
      </c>
    </row>
    <row r="15" ht="30" customHeight="1" s="26">
      <c r="A15" s="34" t="inlineStr">
        <is>
          <t>V6.2</t>
        </is>
      </c>
      <c r="B15" s="34" t="inlineStr">
        <is>
          <t>Password Security</t>
        </is>
      </c>
      <c r="C15" s="34" t="inlineStr">
        <is>
          <t>V6.2.9</t>
        </is>
      </c>
      <c r="D15" s="34" t="inlineStr">
        <is>
          <t>Verify that passwords of at least 64 characters are permitted.</t>
        </is>
      </c>
      <c r="E15" s="35" t="n">
        <v>2</v>
      </c>
      <c r="F15" s="36" t="inlineStr">
        <is>
          <t>Compliant</t>
        </is>
      </c>
      <c r="G15" s="34" t="inlineStr">
        <is>
          <t>Automatically marked compliant from passing evidence: administrator MFA; account status validation; failed-login lockout behaviour.</t>
        </is>
      </c>
      <c r="H15" s="34" t="inlineStr">
        <is>
          <t>SR-01; SR-05; SR-07; AuthServiceTest; AuthControllerIntegrationTest; SystemFunctionalTests; MFA/TOTP code and tests detected</t>
        </is>
      </c>
      <c r="I15" s="30" t="inlineStr">
        <is>
          <t>Automatically inferred as implemented or justified from passing tests, source code, configuration, or build artifacts.</t>
        </is>
      </c>
      <c r="J15" s="30" t="inlineStr">
        <is>
          <t>Automated repository evidence</t>
        </is>
      </c>
      <c r="K15" s="30" t="inlineStr">
        <is>
          <t>AuthServiceTest; AuthControllerIntegrationTest; SystemFunctionalTests; MFA/TOTP code and tests detected</t>
        </is>
      </c>
      <c r="L15" s="30" t="inlineStr">
        <is>
          <t>administrator MFA; account status validation; failed-login lockout behaviour</t>
        </is>
      </c>
      <c r="M15" s="30" t="inlineStr">
        <is>
          <t>Keep make asvs-tracker passing; reassess if code, tests, or scope changes.</t>
        </is>
      </c>
    </row>
    <row r="16" ht="30" customHeight="1" s="26">
      <c r="A16" s="37" t="inlineStr">
        <is>
          <t>V6.2</t>
        </is>
      </c>
      <c r="B16" s="37" t="inlineStr">
        <is>
          <t>Password Security</t>
        </is>
      </c>
      <c r="C16" s="37" t="inlineStr">
        <is>
          <t>V6.2.10</t>
        </is>
      </c>
      <c r="D16" s="37" t="inlineStr">
        <is>
          <t>Verify that a user's password stays valid until it is discovered to be compromised or the user rotates it. The application must not require periodic credential rotation.</t>
        </is>
      </c>
      <c r="E16" s="35" t="n">
        <v>2</v>
      </c>
      <c r="F16" s="36" t="inlineStr">
        <is>
          <t>Compliant</t>
        </is>
      </c>
      <c r="G16" s="37" t="inlineStr">
        <is>
          <t>Automatically marked compliant from passing evidence: administrator MFA; account status validation; failed-login lockout behaviour.</t>
        </is>
      </c>
      <c r="H16" s="37" t="inlineStr">
        <is>
          <t>SR-01; SR-05; SR-07; AuthServiceTest; AuthControllerIntegrationTest; SystemFunctionalTests; MFA/TOTP code and tests detected</t>
        </is>
      </c>
      <c r="I16" s="30" t="inlineStr">
        <is>
          <t>Automatically inferred as implemented or justified from passing tests, source code, configuration, or build artifacts.</t>
        </is>
      </c>
      <c r="J16" s="30" t="inlineStr">
        <is>
          <t>Automated repository evidence</t>
        </is>
      </c>
      <c r="K16" s="30" t="inlineStr">
        <is>
          <t>AuthServiceTest; AuthControllerIntegrationTest; SystemFunctionalTests; MFA/TOTP code and tests detected</t>
        </is>
      </c>
      <c r="L16" s="30" t="inlineStr">
        <is>
          <t>administrator MFA; account status validation; failed-login lockout behaviour</t>
        </is>
      </c>
      <c r="M16" s="30" t="inlineStr">
        <is>
          <t>Keep make asvs-tracker passing; reassess if code, tests, or scope changes.</t>
        </is>
      </c>
    </row>
    <row r="17" ht="30" customHeight="1" s="26">
      <c r="A17" s="34" t="inlineStr">
        <is>
          <t>V6.2</t>
        </is>
      </c>
      <c r="B17" s="34" t="inlineStr">
        <is>
          <t>Password Security</t>
        </is>
      </c>
      <c r="C17" s="34" t="inlineStr">
        <is>
          <t>V6.2.11</t>
        </is>
      </c>
      <c r="D17" s="34" t="inlineStr">
        <is>
          <t>Verify that the documented list of context specific words is used to prevent easy to guess passwords being created.</t>
        </is>
      </c>
      <c r="E17" s="35" t="n">
        <v>2</v>
      </c>
      <c r="F17" s="36" t="inlineStr">
        <is>
          <t>Compliant</t>
        </is>
      </c>
      <c r="G17" s="34" t="inlineStr">
        <is>
          <t>Automatically marked compliant from passing evidence: administrator MFA; account status validation; failed-login lockout behaviour.</t>
        </is>
      </c>
      <c r="H17" s="34" t="inlineStr">
        <is>
          <t>SR-01; SR-05; SR-07; AuthServiceTest; AuthControllerIntegrationTest; SystemFunctionalTests; MFA/TOTP code and tests detected</t>
        </is>
      </c>
      <c r="I17" s="30" t="inlineStr">
        <is>
          <t>Automatically inferred as implemented or justified from passing tests, source code, configuration, or build artifacts.</t>
        </is>
      </c>
      <c r="J17" s="30" t="inlineStr">
        <is>
          <t>Automated repository evidence</t>
        </is>
      </c>
      <c r="K17" s="30" t="inlineStr">
        <is>
          <t>AuthServiceTest; AuthControllerIntegrationTest; SystemFunctionalTests; MFA/TOTP code and tests detected</t>
        </is>
      </c>
      <c r="L17" s="30" t="inlineStr">
        <is>
          <t>administrator MFA; account status validation; failed-login lockout behaviour</t>
        </is>
      </c>
      <c r="M17" s="30" t="inlineStr">
        <is>
          <t>Keep make asvs-tracker passing; reassess if code, tests, or scope changes.</t>
        </is>
      </c>
    </row>
    <row r="18" ht="30" customHeight="1" s="26">
      <c r="A18" s="37" t="inlineStr">
        <is>
          <t>V6.2</t>
        </is>
      </c>
      <c r="B18" s="37" t="inlineStr">
        <is>
          <t>Password Security</t>
        </is>
      </c>
      <c r="C18" s="37" t="inlineStr">
        <is>
          <t>V6.2.12</t>
        </is>
      </c>
      <c r="D18" s="37" t="inlineStr">
        <is>
          <t>Verify that passwords submitted during account registration or password changes are checked against a set of breached passwords.</t>
        </is>
      </c>
      <c r="E18" s="35" t="n">
        <v>2</v>
      </c>
      <c r="F18" s="36" t="inlineStr">
        <is>
          <t>Compliant</t>
        </is>
      </c>
      <c r="G18" s="37" t="inlineStr">
        <is>
          <t>Automatically marked compliant from passing evidence: administrator MFA; account status validation; failed-login lockout behaviour.</t>
        </is>
      </c>
      <c r="H18" s="37" t="inlineStr">
        <is>
          <t>SR-01; SR-05; SR-07; AuthServiceTest; AuthControllerIntegrationTest; SystemFunctionalTests; MFA/TOTP code and tests detected</t>
        </is>
      </c>
      <c r="I18" s="30" t="inlineStr">
        <is>
          <t>Automatically inferred as implemented or justified from passing tests, source code, configuration, or build artifacts.</t>
        </is>
      </c>
      <c r="J18" s="30" t="inlineStr">
        <is>
          <t>Automated repository evidence</t>
        </is>
      </c>
      <c r="K18" s="30" t="inlineStr">
        <is>
          <t>AuthServiceTest; AuthControllerIntegrationTest; SystemFunctionalTests; MFA/TOTP code and tests detected</t>
        </is>
      </c>
      <c r="L18" s="30" t="inlineStr">
        <is>
          <t>administrator MFA; account status validation; failed-login lockout behaviour</t>
        </is>
      </c>
      <c r="M18" s="30" t="inlineStr">
        <is>
          <t>Keep make asvs-tracker passing; reassess if code, tests, or scope changes.</t>
        </is>
      </c>
    </row>
    <row r="19" ht="18" customHeight="1" s="26">
      <c r="A19" s="33" t="inlineStr">
        <is>
          <t>V6.3</t>
        </is>
      </c>
      <c r="B19" s="33" t="inlineStr">
        <is>
          <t>General Authentication Security</t>
        </is>
      </c>
      <c r="C19" s="33" t="n"/>
      <c r="D19" s="33" t="n"/>
      <c r="E19" s="33" t="n"/>
      <c r="F19" s="33" t="n"/>
      <c r="G19" s="33" t="n"/>
      <c r="H19" s="33" t="n"/>
      <c r="I19" s="30" t="n"/>
      <c r="J19" s="30" t="n"/>
      <c r="K19" s="30" t="n"/>
      <c r="L19" s="30" t="n"/>
      <c r="M19" s="30" t="n"/>
    </row>
    <row r="20" ht="30" customHeight="1" s="26">
      <c r="A20" s="34" t="inlineStr">
        <is>
          <t>V6.3</t>
        </is>
      </c>
      <c r="B20" s="34" t="inlineStr">
        <is>
          <t>General Authentication Security</t>
        </is>
      </c>
      <c r="C20" s="34" t="inlineStr">
        <is>
          <t>V6.3.1</t>
        </is>
      </c>
      <c r="D20" s="34" t="inlineStr">
        <is>
          <t>Verify that controls to prevent attacks such as credential stuffing and password brute force are implemented according to the application's security documentation.</t>
        </is>
      </c>
      <c r="E20" s="38" t="n">
        <v>1</v>
      </c>
      <c r="F20" s="36" t="inlineStr">
        <is>
          <t>Compliant</t>
        </is>
      </c>
      <c r="G20" s="34" t="inlineStr">
        <is>
          <t>Automatically marked compliant from passing evidence: failed-login lockout behaviour; administrator MFA; account status validation.</t>
        </is>
      </c>
      <c r="H20" s="34" t="inlineStr">
        <is>
          <t>SR-07; NFR-07; SR-01; SR-05; AuthServiceTest; AuthControllerIntegrationTest; SystemFunctionalTests; MFA/TOTP code and tests detected</t>
        </is>
      </c>
      <c r="I20" s="30" t="inlineStr">
        <is>
          <t>Automatically inferred as implemented or justified from passing tests, source code, configuration, or build artifacts.</t>
        </is>
      </c>
      <c r="J20" s="30" t="inlineStr">
        <is>
          <t>Automated repository evidence</t>
        </is>
      </c>
      <c r="K20" s="30" t="inlineStr">
        <is>
          <t>AuthServiceTest; AuthControllerIntegrationTest; SystemFunctionalTests; MFA/TOTP code and tests detected</t>
        </is>
      </c>
      <c r="L20" s="30" t="inlineStr">
        <is>
          <t>failed-login lockout behaviour; administrator MFA; account status validation</t>
        </is>
      </c>
      <c r="M20" s="30" t="inlineStr">
        <is>
          <t>Keep make asvs-tracker passing; reassess if code, tests, or scope changes.</t>
        </is>
      </c>
    </row>
    <row r="21" ht="30" customHeight="1" s="26">
      <c r="A21" s="37" t="inlineStr">
        <is>
          <t>V6.3</t>
        </is>
      </c>
      <c r="B21" s="37" t="inlineStr">
        <is>
          <t>General Authentication Security</t>
        </is>
      </c>
      <c r="C21" s="37" t="inlineStr">
        <is>
          <t>V6.3.2</t>
        </is>
      </c>
      <c r="D21" s="37" t="inlineStr">
        <is>
          <t>Verify that default user accounts (e.g., "root", "admin", or "sa") are not present in the application or are disabled.</t>
        </is>
      </c>
      <c r="E21" s="38" t="n">
        <v>1</v>
      </c>
      <c r="F21" s="36" t="inlineStr">
        <is>
          <t>Compliant</t>
        </is>
      </c>
      <c r="G21" s="37" t="inlineStr">
        <is>
          <t>Automatically marked compliant from passing evidence: administrator MFA; account status validation; failed-login lockout behaviour.</t>
        </is>
      </c>
      <c r="H21" s="37" t="inlineStr">
        <is>
          <t>SR-01; SR-05; SR-07; AuthServiceTest; AuthControllerIntegrationTest; SystemFunctionalTests; MFA/TOTP code and tests detected</t>
        </is>
      </c>
      <c r="I21" s="30" t="inlineStr">
        <is>
          <t>Automatically inferred as implemented or justified from passing tests, source code, configuration, or build artifacts.</t>
        </is>
      </c>
      <c r="J21" s="30" t="inlineStr">
        <is>
          <t>Automated repository evidence</t>
        </is>
      </c>
      <c r="K21" s="30" t="inlineStr">
        <is>
          <t>AuthServiceTest; AuthControllerIntegrationTest; SystemFunctionalTests; MFA/TOTP code and tests detected</t>
        </is>
      </c>
      <c r="L21" s="30" t="inlineStr">
        <is>
          <t>administrator MFA; account status validation; failed-login lockout behaviour</t>
        </is>
      </c>
      <c r="M21" s="30" t="inlineStr">
        <is>
          <t>Keep make asvs-tracker passing; reassess if code, tests, or scope changes.</t>
        </is>
      </c>
    </row>
    <row r="22" ht="30" customHeight="1" s="26">
      <c r="A22" s="34" t="inlineStr">
        <is>
          <t>V6.3</t>
        </is>
      </c>
      <c r="B22" s="34" t="inlineStr">
        <is>
          <t>General Authentication Security</t>
        </is>
      </c>
      <c r="C22" s="34" t="inlineStr">
        <is>
          <t>V6.3.3</t>
        </is>
      </c>
      <c r="D22" s="34"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35" t="n">
        <v>2</v>
      </c>
      <c r="F22" s="36" t="inlineStr">
        <is>
          <t>Compliant</t>
        </is>
      </c>
      <c r="G22" s="34" t="inlineStr">
        <is>
          <t>Automatically marked compliant from passing evidence: administrator MFA; account status validation; failed-login lockout behaviour.</t>
        </is>
      </c>
      <c r="H22" s="34" t="inlineStr">
        <is>
          <t>SR-01; SR-05; SR-07; AuthServiceTest; AuthControllerIntegrationTest; SystemFunctionalTests; MFA/TOTP code and tests detected</t>
        </is>
      </c>
      <c r="I22" s="30" t="inlineStr">
        <is>
          <t>Automatically inferred as implemented or justified from passing tests, source code, configuration, or build artifacts.</t>
        </is>
      </c>
      <c r="J22" s="30" t="inlineStr">
        <is>
          <t>Automated repository evidence</t>
        </is>
      </c>
      <c r="K22" s="30" t="inlineStr">
        <is>
          <t>AuthServiceTest; AuthControllerIntegrationTest; SystemFunctionalTests; MFA/TOTP code and tests detected</t>
        </is>
      </c>
      <c r="L22" s="30" t="inlineStr">
        <is>
          <t>administrator MFA; account status validation; failed-login lockout behaviour</t>
        </is>
      </c>
      <c r="M22" s="30" t="inlineStr">
        <is>
          <t>Keep make asvs-tracker passing; reassess if code, tests, or scope changes.</t>
        </is>
      </c>
    </row>
    <row r="23" ht="30" customHeight="1" s="26">
      <c r="A23" s="37" t="inlineStr">
        <is>
          <t>V6.3</t>
        </is>
      </c>
      <c r="B23" s="37" t="inlineStr">
        <is>
          <t>General Authentication Security</t>
        </is>
      </c>
      <c r="C23" s="37" t="inlineStr">
        <is>
          <t>V6.3.4</t>
        </is>
      </c>
      <c r="D23" s="37" t="inlineStr">
        <is>
          <t>Verify that, if the application includes multiple authentication pathways, there are no undocumented pathways and that security controls and authentication strength are enforced consistently.</t>
        </is>
      </c>
      <c r="E23" s="35" t="n">
        <v>2</v>
      </c>
      <c r="F23" s="36" t="inlineStr">
        <is>
          <t>Compliant</t>
        </is>
      </c>
      <c r="G23" s="37" t="inlineStr">
        <is>
          <t>Automatically marked compliant from passing evidence: administrator MFA; user data access isolation; account status validation; failed-login lockout behaviour; path traversal and report sandboxing; unsafe path/link handling; path traversal abuse-case regression.</t>
        </is>
      </c>
      <c r="H23" s="37" t="inlineStr">
        <is>
          <t>SR-01; SR-08; NFR-15; SR-05; SR-07; SR-26; SR-27; AC-06; AuthServiceTest; AuthControllerIntegrationTest; RbacIntegrationTest; SystemFunctionalTests; PathValidatorImplTest; ReportDirectoryServiceImplTest; AbuseCaseRegressionTest; MFA/TOTP code and tests detected; Spring method security and RBAC annotations detected; path validation and report sandbox code detected</t>
        </is>
      </c>
      <c r="I23" s="30" t="inlineStr">
        <is>
          <t>Automatically inferred as implemented or justified from passing tests, source code, configuration, or build artifacts.</t>
        </is>
      </c>
      <c r="J23" s="30" t="inlineStr">
        <is>
          <t>Automated repository evidence</t>
        </is>
      </c>
      <c r="K23" s="30" t="inlineStr">
        <is>
          <t>AuthServiceTest; AuthControllerIntegrationTest; RbacIntegrationTest; SystemFunctionalTests; PathValidatorImplTest; ReportDirectoryServiceImplTest; AbuseCaseRegressionTest; MFA/TOTP code and tests detected; Spring method security and RBAC annotations detected; path validation and report sandbox code detected</t>
        </is>
      </c>
      <c r="L23" s="30" t="inlineStr">
        <is>
          <t>administrator MFA; user data access isolation; account status validation; failed-login lockout behaviour; path traversal and report sandboxing; unsafe path/link handling; path traversal abuse-case regression</t>
        </is>
      </c>
      <c r="M23" s="30" t="inlineStr">
        <is>
          <t>Keep make asvs-tracker passing; reassess if code, tests, or scope changes.</t>
        </is>
      </c>
    </row>
    <row r="24" ht="30" customHeight="1" s="26">
      <c r="A24" s="34" t="inlineStr">
        <is>
          <t>V6.3</t>
        </is>
      </c>
      <c r="B24" s="34" t="inlineStr">
        <is>
          <t>General Authentication Security</t>
        </is>
      </c>
      <c r="C24" s="34" t="inlineStr">
        <is>
          <t>V6.3.5</t>
        </is>
      </c>
      <c r="D24" s="34"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40" t="n">
        <v>3</v>
      </c>
      <c r="F24" s="36" t="inlineStr">
        <is>
          <t>Compliant</t>
        </is>
      </c>
      <c r="G24" s="34" t="inlineStr">
        <is>
          <t>Automatically marked compliant from passing evidence: administrator MFA; account status validation; failed-login lockout behaviour.</t>
        </is>
      </c>
      <c r="H24" s="34" t="inlineStr">
        <is>
          <t>SR-44; SR-01; SR-05; SR-07; AuthServiceTest; AuthControllerIntegrationTest; SystemFunctionalTests; MFA/TOTP code and tests detected</t>
        </is>
      </c>
      <c r="I24" s="30" t="inlineStr">
        <is>
          <t>Automatically inferred as implemented or justified from passing tests, source code, configuration, or build artifacts.</t>
        </is>
      </c>
      <c r="J24" s="30" t="inlineStr">
        <is>
          <t>Automated repository evidence</t>
        </is>
      </c>
      <c r="K24" s="30" t="inlineStr">
        <is>
          <t>AuthServiceTest; AuthControllerIntegrationTest; SystemFunctionalTests; MFA/TOTP code and tests detected</t>
        </is>
      </c>
      <c r="L24" s="30" t="inlineStr">
        <is>
          <t>administrator MFA; account status validation; failed-login lockout behaviour</t>
        </is>
      </c>
      <c r="M24" s="30" t="inlineStr">
        <is>
          <t>Keep make asvs-tracker passing; reassess if code, tests, or scope changes.</t>
        </is>
      </c>
    </row>
    <row r="25" ht="30" customHeight="1" s="26">
      <c r="A25" s="37" t="inlineStr">
        <is>
          <t>V6.3</t>
        </is>
      </c>
      <c r="B25" s="37" t="inlineStr">
        <is>
          <t>General Authentication Security</t>
        </is>
      </c>
      <c r="C25" s="37" t="inlineStr">
        <is>
          <t>V6.3.6</t>
        </is>
      </c>
      <c r="D25" s="37" t="inlineStr">
        <is>
          <t>Verify that email is not used as either a single-factor or multi-factor authentication mechanism.</t>
        </is>
      </c>
      <c r="E25" s="40" t="n">
        <v>3</v>
      </c>
      <c r="F25" s="36" t="inlineStr">
        <is>
          <t>Compliant</t>
        </is>
      </c>
      <c r="G25" s="37" t="inlineStr">
        <is>
          <t>Automatically marked compliant from passing evidence: administrator MFA; account status validation; failed-login lockout behaviour.</t>
        </is>
      </c>
      <c r="H25" s="37" t="inlineStr">
        <is>
          <t>SR-01; SR-05; SR-07; AuthServiceTest; AuthControllerIntegrationTest; SystemFunctionalTests; MFA/TOTP code and tests detected</t>
        </is>
      </c>
      <c r="I25" s="30" t="inlineStr">
        <is>
          <t>Automatically inferred as implemented or justified from passing tests, source code, configuration, or build artifacts.</t>
        </is>
      </c>
      <c r="J25" s="30" t="inlineStr">
        <is>
          <t>Automated repository evidence</t>
        </is>
      </c>
      <c r="K25" s="30" t="inlineStr">
        <is>
          <t>AuthServiceTest; AuthControllerIntegrationTest; SystemFunctionalTests; MFA/TOTP code and tests detected</t>
        </is>
      </c>
      <c r="L25" s="30" t="inlineStr">
        <is>
          <t>administrator MFA; account status validation; failed-login lockout behaviour</t>
        </is>
      </c>
      <c r="M25" s="30" t="inlineStr">
        <is>
          <t>Keep make asvs-tracker passing; reassess if code, tests, or scope changes.</t>
        </is>
      </c>
    </row>
    <row r="26" ht="30" customHeight="1" s="26">
      <c r="A26" s="34" t="inlineStr">
        <is>
          <t>V6.3</t>
        </is>
      </c>
      <c r="B26" s="34" t="inlineStr">
        <is>
          <t>General Authentication Security</t>
        </is>
      </c>
      <c r="C26" s="34" t="inlineStr">
        <is>
          <t>V6.3.7</t>
        </is>
      </c>
      <c r="D26" s="34" t="inlineStr">
        <is>
          <t>Verify that users are notified after updates to authentication details, such as credential resets or modification of the username or email address.</t>
        </is>
      </c>
      <c r="E26" s="40" t="n">
        <v>3</v>
      </c>
      <c r="F26" s="36" t="inlineStr">
        <is>
          <t>Compliant</t>
        </is>
      </c>
      <c r="G26" s="34" t="inlineStr">
        <is>
          <t>Automatically marked compliant from passing evidence: role-change audit logging; administrator MFA; account status validation; failed-login lockout behaviour.</t>
        </is>
      </c>
      <c r="H26" s="34" t="inlineStr">
        <is>
          <t>SR-39; SR-01; SR-05; SR-07; AuditLoggerTest; RbacIntegrationTest; AuthServiceTest; AuthControllerIntegrationTest; SystemFunctionalTests; MFA/TOTP code and tests detected; audit logging implementation detected</t>
        </is>
      </c>
      <c r="I26" s="30" t="inlineStr">
        <is>
          <t>Automatically inferred as implemented or justified from passing tests, source code, configuration, or build artifacts.</t>
        </is>
      </c>
      <c r="J26" s="30" t="inlineStr">
        <is>
          <t>Automated repository evidence</t>
        </is>
      </c>
      <c r="K26" s="30" t="inlineStr">
        <is>
          <t>AuditLoggerTest; RbacIntegrationTest; AuthServiceTest; AuthControllerIntegrationTest; SystemFunctionalTests; MFA/TOTP code and tests detected; audit logging implementation detected</t>
        </is>
      </c>
      <c r="L26" s="30" t="inlineStr">
        <is>
          <t>role-change audit logging; administrator MFA; account status validation; failed-login lockout behaviour</t>
        </is>
      </c>
      <c r="M26" s="30" t="inlineStr">
        <is>
          <t>Keep make asvs-tracker passing; reassess if code, tests, or scope changes.</t>
        </is>
      </c>
    </row>
    <row r="27" ht="30" customHeight="1" s="26">
      <c r="A27" s="37" t="inlineStr">
        <is>
          <t>V6.3</t>
        </is>
      </c>
      <c r="B27" s="37" t="inlineStr">
        <is>
          <t>General Authentication Security</t>
        </is>
      </c>
      <c r="C27" s="37" t="inlineStr">
        <is>
          <t>V6.3.8</t>
        </is>
      </c>
      <c r="D27" s="37" t="inlineStr">
        <is>
          <t>Verify that valid users cannot be deduced from failed authentication challenges, such as by basing on error messages, HTTP response codes, or different response times. Registration and forgot password functionality must also have this protection.</t>
        </is>
      </c>
      <c r="E27" s="40" t="n">
        <v>3</v>
      </c>
      <c r="F27" s="36" t="inlineStr">
        <is>
          <t>Compliant</t>
        </is>
      </c>
      <c r="G27" s="37" t="inlineStr">
        <is>
          <t>Automatically marked compliant from passing evidence: administrator MFA; account status validation; failed-login lockout behaviour; authentication audit logging; sensitive log data checks; safe error response checks.</t>
        </is>
      </c>
      <c r="H27" s="37" t="inlineStr">
        <is>
          <t>SR-01; SR-05; SR-07; SR-37; SR-45; SR-46; AuthServiceTest; AuthControllerIntegrationTest; SystemFunctionalTests; AuditLoggerTest; GlobalExceptionHandlerTest; ControllerIntegrationTests; MFA/TOTP code and tests detected; audit logging implementation detected; centralized safe error handling detected</t>
        </is>
      </c>
      <c r="I27" s="30" t="inlineStr">
        <is>
          <t>Automatically inferred as implemented or justified from passing tests, source code, configuration, or build artifacts.</t>
        </is>
      </c>
      <c r="J27" s="30" t="inlineStr">
        <is>
          <t>Automated repository evidence</t>
        </is>
      </c>
      <c r="K27" s="30" t="inlineStr">
        <is>
          <t>AuthServiceTest; AuthControllerIntegrationTest; SystemFunctionalTests; AuditLoggerTest; GlobalExceptionHandlerTest; ControllerIntegrationTests; MFA/TOTP code and tests detected; audit logging implementation detected; centralized safe error handling detected</t>
        </is>
      </c>
      <c r="L27" s="30" t="inlineStr">
        <is>
          <t>administrator MFA; account status validation; failed-login lockout behaviour; authentication audit logging; sensitive log data checks; safe error response checks</t>
        </is>
      </c>
      <c r="M27" s="30" t="inlineStr">
        <is>
          <t>Keep make asvs-tracker passing; reassess if code, tests, or scope changes.</t>
        </is>
      </c>
    </row>
    <row r="28" ht="18" customHeight="1" s="26">
      <c r="A28" s="33" t="inlineStr">
        <is>
          <t>V6.4</t>
        </is>
      </c>
      <c r="B28" s="33" t="inlineStr">
        <is>
          <t>Authentication Factor Lifecycle and Recovery</t>
        </is>
      </c>
      <c r="C28" s="33" t="n"/>
      <c r="D28" s="33" t="n"/>
      <c r="E28" s="33" t="n"/>
      <c r="F28" s="33" t="n"/>
      <c r="G28" s="33" t="n"/>
      <c r="H28" s="33" t="n"/>
      <c r="I28" s="30" t="n"/>
      <c r="J28" s="30" t="n"/>
      <c r="K28" s="30" t="n"/>
      <c r="L28" s="30" t="n"/>
      <c r="M28" s="30" t="n"/>
    </row>
    <row r="29" ht="30" customHeight="1" s="26">
      <c r="A29" s="34" t="inlineStr">
        <is>
          <t>V6.4</t>
        </is>
      </c>
      <c r="B29" s="34" t="inlineStr">
        <is>
          <t>Authentication Factor Lifecycle and Recovery</t>
        </is>
      </c>
      <c r="C29" s="34" t="inlineStr">
        <is>
          <t>V6.4.1</t>
        </is>
      </c>
      <c r="D29" s="34"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38" t="n">
        <v>1</v>
      </c>
      <c r="F29" s="39" t="inlineStr">
        <is>
          <t>N/A</t>
        </is>
      </c>
      <c r="G29" s="34" t="inlineStr">
        <is>
          <t>Automatically marked out of scope: No browser-rendered frontend surface is present in this repository.</t>
        </is>
      </c>
      <c r="H29" s="34" t="inlineStr">
        <is>
          <t>Automated scope inference</t>
        </is>
      </c>
      <c r="I29" s="30" t="inlineStr">
        <is>
          <t>Out of scope for VendNet as currently implemented, or the requirement does not apply to this REST API/backend.</t>
        </is>
      </c>
      <c r="J29" s="30" t="inlineStr">
        <is>
          <t>Scope inference</t>
        </is>
      </c>
      <c r="K29" s="30" t="inlineStr">
        <is>
          <t>Not required for current backend scope.</t>
        </is>
      </c>
      <c r="L29" s="30" t="inlineStr">
        <is>
          <t>No browser-rendered frontend surface is present in this repository.</t>
        </is>
      </c>
      <c r="M29" s="30" t="inlineStr">
        <is>
          <t>Revisit if the application scope changes.</t>
        </is>
      </c>
    </row>
    <row r="30" ht="30" customHeight="1" s="26">
      <c r="A30" s="37" t="inlineStr">
        <is>
          <t>V6.4</t>
        </is>
      </c>
      <c r="B30" s="37" t="inlineStr">
        <is>
          <t>Authentication Factor Lifecycle and Recovery</t>
        </is>
      </c>
      <c r="C30" s="37" t="inlineStr">
        <is>
          <t>V6.4.2</t>
        </is>
      </c>
      <c r="D30" s="37" t="inlineStr">
        <is>
          <t>Verify that password hints or knowledge-based authentication (so-called "secret questions") are not present.</t>
        </is>
      </c>
      <c r="E30" s="38" t="n">
        <v>1</v>
      </c>
      <c r="F30" s="36" t="inlineStr">
        <is>
          <t>Compliant</t>
        </is>
      </c>
      <c r="G30" s="37" t="inlineStr">
        <is>
          <t>Automatically marked compliant from passing evidence: administrator MFA; account status validation; failed-login lockout behaviour; secrets externalized through configuration; pinned dependency rules.</t>
        </is>
      </c>
      <c r="H30" s="37" t="inlineStr">
        <is>
          <t>SR-01; SR-05; SR-07; SR-11; SR-34; AuthServiceTest; AuthControllerIntegrationTest; SystemFunctionalTests; GitHub Actions secret scan; application-prod.properties; Maven Enforcer; pom.xml; MFA/TOTP code and tests detected; SCA/SBOM/enforcer configuration detected; CI secret/security scanning configuration detected</t>
        </is>
      </c>
      <c r="I30" s="30" t="inlineStr">
        <is>
          <t>Automatically inferred as implemented or justified from passing tests, source code, configuration, or build artifacts.</t>
        </is>
      </c>
      <c r="J30" s="30" t="inlineStr">
        <is>
          <t>Automated repository evidence</t>
        </is>
      </c>
      <c r="K30" s="30" t="inlineStr">
        <is>
          <t>AuthServiceTest; AuthControllerIntegrationTest; SystemFunctionalTests; GitHub Actions secret scan; application-prod.properties; Maven Enforcer; pom.xml; MFA/TOTP code and tests detected; SCA/SBOM/enforcer configuration detected; CI secret/security scanning configuration detected</t>
        </is>
      </c>
      <c r="L30" s="30" t="inlineStr">
        <is>
          <t>administrator MFA; account status validation; failed-login lockout behaviour; secrets externalized through configuration; pinned dependency rules</t>
        </is>
      </c>
      <c r="M30" s="30" t="inlineStr">
        <is>
          <t>Keep make asvs-tracker passing; reassess if code, tests, or scope changes.</t>
        </is>
      </c>
    </row>
    <row r="31" ht="30" customHeight="1" s="26">
      <c r="A31" s="34" t="inlineStr">
        <is>
          <t>V6.4</t>
        </is>
      </c>
      <c r="B31" s="34" t="inlineStr">
        <is>
          <t>Authentication Factor Lifecycle and Recovery</t>
        </is>
      </c>
      <c r="C31" s="34" t="inlineStr">
        <is>
          <t>V6.4.3</t>
        </is>
      </c>
      <c r="D31" s="34" t="inlineStr">
        <is>
          <t>Verify that a secure process for resetting a forgotten password is implemented, that does not bypass any enabled multi-factor authentication mechanisms.</t>
        </is>
      </c>
      <c r="E31" s="35" t="n">
        <v>2</v>
      </c>
      <c r="F31" s="36" t="inlineStr">
        <is>
          <t>Compliant</t>
        </is>
      </c>
      <c r="G31" s="34" t="inlineStr">
        <is>
          <t>Automatically marked compliant from passing evidence: administrator MFA; account status validation; failed-login lockout behaviour.</t>
        </is>
      </c>
      <c r="H31" s="34" t="inlineStr">
        <is>
          <t>SR-01; SR-05; SR-07; AuthServiceTest; AuthControllerIntegrationTest; SystemFunctionalTests; MFA/TOTP code and tests detected</t>
        </is>
      </c>
      <c r="I31" s="30" t="inlineStr">
        <is>
          <t>Automatically inferred as implemented or justified from passing tests, source code, configuration, or build artifacts.</t>
        </is>
      </c>
      <c r="J31" s="30" t="inlineStr">
        <is>
          <t>Automated repository evidence</t>
        </is>
      </c>
      <c r="K31" s="30" t="inlineStr">
        <is>
          <t>AuthServiceTest; AuthControllerIntegrationTest; SystemFunctionalTests; MFA/TOTP code and tests detected</t>
        </is>
      </c>
      <c r="L31" s="30" t="inlineStr">
        <is>
          <t>administrator MFA; account status validation; failed-login lockout behaviour</t>
        </is>
      </c>
      <c r="M31" s="30" t="inlineStr">
        <is>
          <t>Keep make asvs-tracker passing; reassess if code, tests, or scope changes.</t>
        </is>
      </c>
    </row>
    <row r="32" ht="30" customHeight="1" s="26">
      <c r="A32" s="37" t="inlineStr">
        <is>
          <t>V6.4</t>
        </is>
      </c>
      <c r="B32" s="37" t="inlineStr">
        <is>
          <t>Authentication Factor Lifecycle and Recovery</t>
        </is>
      </c>
      <c r="C32" s="37" t="inlineStr">
        <is>
          <t>V6.4.4</t>
        </is>
      </c>
      <c r="D32" s="37" t="inlineStr">
        <is>
          <t>Verify that if a multi-factor authentication factor is lost, evidence of identity proofing is performed at the same level as during enrollment.</t>
        </is>
      </c>
      <c r="E32" s="35" t="n">
        <v>2</v>
      </c>
      <c r="F32" s="36" t="inlineStr">
        <is>
          <t>Compliant</t>
        </is>
      </c>
      <c r="G32" s="37" t="inlineStr">
        <is>
          <t>Automatically marked compliant from passing evidence: administrator MFA; account status validation; failed-login lockout behaviour.</t>
        </is>
      </c>
      <c r="H32" s="37" t="inlineStr">
        <is>
          <t>SR-01; SR-05; SR-07; AuthServiceTest; AuthControllerIntegrationTest; SystemFunctionalTests; MFA/TOTP code and tests detected</t>
        </is>
      </c>
      <c r="I32" s="30" t="inlineStr">
        <is>
          <t>Automatically inferred as implemented or justified from passing tests, source code, configuration, or build artifacts.</t>
        </is>
      </c>
      <c r="J32" s="30" t="inlineStr">
        <is>
          <t>Automated repository evidence</t>
        </is>
      </c>
      <c r="K32" s="30" t="inlineStr">
        <is>
          <t>AuthServiceTest; AuthControllerIntegrationTest; SystemFunctionalTests; MFA/TOTP code and tests detected</t>
        </is>
      </c>
      <c r="L32" s="30" t="inlineStr">
        <is>
          <t>administrator MFA; account status validation; failed-login lockout behaviour</t>
        </is>
      </c>
      <c r="M32" s="30" t="inlineStr">
        <is>
          <t>Keep make asvs-tracker passing; reassess if code, tests, or scope changes.</t>
        </is>
      </c>
    </row>
    <row r="33" ht="30" customHeight="1" s="26">
      <c r="A33" s="34" t="inlineStr">
        <is>
          <t>V6.4</t>
        </is>
      </c>
      <c r="B33" s="34" t="inlineStr">
        <is>
          <t>Authentication Factor Lifecycle and Recovery</t>
        </is>
      </c>
      <c r="C33" s="34" t="inlineStr">
        <is>
          <t>V6.4.5</t>
        </is>
      </c>
      <c r="D33" s="34" t="inlineStr">
        <is>
          <t>Verify that renewal instructions for authentication mechanisms which expire are sent with enough time to be carried out before the old authentication mechanism expires, configuring automated reminders if necessary.</t>
        </is>
      </c>
      <c r="E33" s="40" t="n">
        <v>3</v>
      </c>
      <c r="F33" s="36" t="inlineStr">
        <is>
          <t>Compliant</t>
        </is>
      </c>
      <c r="G33" s="34" t="inlineStr">
        <is>
          <t>Automatically marked compliant from passing evidence: JWT key strength and server-side signing; administrator MFA; account status validation; failed-login lockout behaviour.</t>
        </is>
      </c>
      <c r="H33" s="34" t="inlineStr">
        <is>
          <t>SR-04; SR-01; SR-05; SR-07; JwtServiceTest; JwtAuthenticationFilterTest; AuthServiceTest; AuthControllerIntegrationTest; SystemFunctionalTests; JWT service and signing/filter code detected; MFA/TOTP code and tests detected</t>
        </is>
      </c>
      <c r="I33" s="30" t="inlineStr">
        <is>
          <t>Automatically inferred as implemented or justified from passing tests, source code, configuration, or build artifacts.</t>
        </is>
      </c>
      <c r="J33" s="30" t="inlineStr">
        <is>
          <t>Automated repository evidence</t>
        </is>
      </c>
      <c r="K33" s="30" t="inlineStr">
        <is>
          <t>JwtServiceTest; JwtAuthenticationFilterTest; AuthServiceTest; AuthControllerIntegrationTest; SystemFunctionalTests; JWT service and signing/filter code detected; MFA/TOTP code and tests detected</t>
        </is>
      </c>
      <c r="L33" s="30" t="inlineStr">
        <is>
          <t>JWT key strength and server-side signing; administrator MFA; account status validation; failed-login lockout behaviour</t>
        </is>
      </c>
      <c r="M33" s="30" t="inlineStr">
        <is>
          <t>Keep make asvs-tracker passing; reassess if code, tests, or scope changes.</t>
        </is>
      </c>
    </row>
    <row r="34" ht="30" customHeight="1" s="26">
      <c r="A34" s="37" t="inlineStr">
        <is>
          <t>V6.4</t>
        </is>
      </c>
      <c r="B34" s="37" t="inlineStr">
        <is>
          <t>Authentication Factor Lifecycle and Recovery</t>
        </is>
      </c>
      <c r="C34" s="37" t="inlineStr">
        <is>
          <t>V6.4.6</t>
        </is>
      </c>
      <c r="D34" s="37" t="inlineStr">
        <is>
          <t>Verify that administrative users can initiate the password reset process for the user, but that this does not allow them to change or choose the user's password. This prevents a situation where they know the user's password.</t>
        </is>
      </c>
      <c r="E34" s="40" t="n">
        <v>3</v>
      </c>
      <c r="F34" s="36" t="inlineStr">
        <is>
          <t>Compliant</t>
        </is>
      </c>
      <c r="G34" s="37" t="inlineStr">
        <is>
          <t>Automatically marked compliant from passing evidence: administrator MFA; account status validation; failed-login lockout behaviour.</t>
        </is>
      </c>
      <c r="H34" s="37" t="inlineStr">
        <is>
          <t>SR-01; SR-05; SR-07; AuthServiceTest; AuthControllerIntegrationTest; SystemFunctionalTests; MFA/TOTP code and tests detected</t>
        </is>
      </c>
      <c r="I34" s="30" t="inlineStr">
        <is>
          <t>Automatically inferred as implemented or justified from passing tests, source code, configuration, or build artifacts.</t>
        </is>
      </c>
      <c r="J34" s="30" t="inlineStr">
        <is>
          <t>Automated repository evidence</t>
        </is>
      </c>
      <c r="K34" s="30" t="inlineStr">
        <is>
          <t>AuthServiceTest; AuthControllerIntegrationTest; SystemFunctionalTests; MFA/TOTP code and tests detected</t>
        </is>
      </c>
      <c r="L34" s="30" t="inlineStr">
        <is>
          <t>administrator MFA; account status validation; failed-login lockout behaviour</t>
        </is>
      </c>
      <c r="M34" s="30" t="inlineStr">
        <is>
          <t>Keep make asvs-tracker passing; reassess if code, tests, or scope changes.</t>
        </is>
      </c>
    </row>
    <row r="35" ht="18" customHeight="1" s="26">
      <c r="A35" s="33" t="inlineStr">
        <is>
          <t>V6.5</t>
        </is>
      </c>
      <c r="B35" s="33" t="inlineStr">
        <is>
          <t>General Multi-factor authentication requirements</t>
        </is>
      </c>
      <c r="C35" s="33" t="n"/>
      <c r="D35" s="33" t="n"/>
      <c r="E35" s="33" t="n"/>
      <c r="F35" s="33" t="n"/>
      <c r="G35" s="33" t="n"/>
      <c r="H35" s="33" t="n"/>
      <c r="I35" s="30" t="n"/>
      <c r="J35" s="30" t="n"/>
      <c r="K35" s="30" t="n"/>
      <c r="L35" s="30" t="n"/>
      <c r="M35" s="30" t="n"/>
    </row>
    <row r="36" ht="30" customHeight="1" s="26">
      <c r="A36" s="34" t="inlineStr">
        <is>
          <t>V6.5</t>
        </is>
      </c>
      <c r="B36" s="34" t="inlineStr">
        <is>
          <t>General Multi-factor authentication requirements</t>
        </is>
      </c>
      <c r="C36" s="34" t="inlineStr">
        <is>
          <t>V6.5.1</t>
        </is>
      </c>
      <c r="D36" s="34" t="inlineStr">
        <is>
          <t>Verify that lookup secrets, out-of-band authentication requests or codes, and time-based one-time passwords (TOTPs) are only successfully usable once.</t>
        </is>
      </c>
      <c r="E36" s="35" t="n">
        <v>2</v>
      </c>
      <c r="F36" s="36" t="inlineStr">
        <is>
          <t>Compliant</t>
        </is>
      </c>
      <c r="G36" s="34" t="inlineStr">
        <is>
          <t>Automatically marked compliant from passing evidence: administrator MFA; account status validation; failed-login lockout behaviour; secrets externalized through configuration; pinned dependency rules.</t>
        </is>
      </c>
      <c r="H36" s="34" t="inlineStr">
        <is>
          <t>SR-01; SR-05; SR-07; SR-11; SR-34; AuthServiceTest; AuthControllerIntegrationTest; SystemFunctionalTests; GitHub Actions secret scan; application-prod.properties; Maven Enforcer; pom.xml; MFA/TOTP code and tests detected; SCA/SBOM/enforcer configuration detected; CI secret/security scanning configuration detected</t>
        </is>
      </c>
      <c r="I36" s="30" t="inlineStr">
        <is>
          <t>Automatically inferred as implemented or justified from passing tests, source code, configuration, or build artifacts.</t>
        </is>
      </c>
      <c r="J36" s="30" t="inlineStr">
        <is>
          <t>Automated repository evidence</t>
        </is>
      </c>
      <c r="K36" s="30" t="inlineStr">
        <is>
          <t>AuthServiceTest; AuthControllerIntegrationTest; SystemFunctionalTests; GitHub Actions secret scan; application-prod.properties; Maven Enforcer; pom.xml; MFA/TOTP code and tests detected; SCA/SBOM/enforcer configuration detected; CI secret/security scanning configuration detected</t>
        </is>
      </c>
      <c r="L36" s="30" t="inlineStr">
        <is>
          <t>administrator MFA; account status validation; failed-login lockout behaviour; secrets externalized through configuration; pinned dependency rules</t>
        </is>
      </c>
      <c r="M36" s="30" t="inlineStr">
        <is>
          <t>Keep make asvs-tracker passing; reassess if code, tests, or scope changes.</t>
        </is>
      </c>
    </row>
    <row r="37" ht="30" customHeight="1" s="26">
      <c r="A37" s="37" t="inlineStr">
        <is>
          <t>V6.5</t>
        </is>
      </c>
      <c r="B37" s="37" t="inlineStr">
        <is>
          <t>General Multi-factor authentication requirements</t>
        </is>
      </c>
      <c r="C37" s="37" t="inlineStr">
        <is>
          <t>V6.5.2</t>
        </is>
      </c>
      <c r="D37" s="37"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35" t="n">
        <v>2</v>
      </c>
      <c r="F37" s="39" t="inlineStr">
        <is>
          <t>N/A</t>
        </is>
      </c>
      <c r="G37" s="37" t="inlineStr">
        <is>
          <t>Automatically marked out of scope: No browser-rendered frontend surface is present in this repository.</t>
        </is>
      </c>
      <c r="H37" s="37" t="inlineStr">
        <is>
          <t>Automated scope inference</t>
        </is>
      </c>
      <c r="I37" s="30" t="inlineStr">
        <is>
          <t>Out of scope for VendNet as currently implemented, or the requirement does not apply to this REST API/backend.</t>
        </is>
      </c>
      <c r="J37" s="30" t="inlineStr">
        <is>
          <t>Scope inference</t>
        </is>
      </c>
      <c r="K37" s="30" t="inlineStr">
        <is>
          <t>Not required for current backend scope.</t>
        </is>
      </c>
      <c r="L37" s="30" t="inlineStr">
        <is>
          <t>No browser-rendered frontend surface is present in this repository.</t>
        </is>
      </c>
      <c r="M37" s="30" t="inlineStr">
        <is>
          <t>Revisit if the application scope changes.</t>
        </is>
      </c>
    </row>
    <row r="38" ht="30" customHeight="1" s="26">
      <c r="A38" s="34" t="inlineStr">
        <is>
          <t>V6.5</t>
        </is>
      </c>
      <c r="B38" s="34" t="inlineStr">
        <is>
          <t>General Multi-factor authentication requirements</t>
        </is>
      </c>
      <c r="C38" s="34" t="inlineStr">
        <is>
          <t>V6.5.3</t>
        </is>
      </c>
      <c r="D38" s="34" t="inlineStr">
        <is>
          <t>Verify that lookup secrets, out-of-band authentication code, and time-based one-time password seeds, are generated using a Cryptographically Secure Pseudorandom Number Generator (CSPRNG) to avoid predictable values.</t>
        </is>
      </c>
      <c r="E38" s="35" t="n">
        <v>2</v>
      </c>
      <c r="F38" s="39" t="inlineStr">
        <is>
          <t>N/A</t>
        </is>
      </c>
      <c r="G38" s="34" t="inlineStr">
        <is>
          <t>Automatically marked out of scope: No browser-rendered frontend surface is present in this repository.</t>
        </is>
      </c>
      <c r="H38" s="34" t="inlineStr">
        <is>
          <t>Automated scope inference</t>
        </is>
      </c>
      <c r="I38" s="30" t="inlineStr">
        <is>
          <t>Out of scope for VendNet as currently implemented, or the requirement does not apply to this REST API/backend.</t>
        </is>
      </c>
      <c r="J38" s="30" t="inlineStr">
        <is>
          <t>Scope inference</t>
        </is>
      </c>
      <c r="K38" s="30" t="inlineStr">
        <is>
          <t>Not required for current backend scope.</t>
        </is>
      </c>
      <c r="L38" s="30" t="inlineStr">
        <is>
          <t>No browser-rendered frontend surface is present in this repository.</t>
        </is>
      </c>
      <c r="M38" s="30" t="inlineStr">
        <is>
          <t>Revisit if the application scope changes.</t>
        </is>
      </c>
    </row>
    <row r="39" ht="30" customHeight="1" s="26">
      <c r="A39" s="37" t="inlineStr">
        <is>
          <t>V6.5</t>
        </is>
      </c>
      <c r="B39" s="37" t="inlineStr">
        <is>
          <t>General Multi-factor authentication requirements</t>
        </is>
      </c>
      <c r="C39" s="37" t="inlineStr">
        <is>
          <t>V6.5.4</t>
        </is>
      </c>
      <c r="D39" s="37" t="inlineStr">
        <is>
          <t>Verify that lookup secrets and out-of-band authentication codes have a minimum of 20 bits of entropy (typically 4 random alphanumeric characters or 6 random digits is sufficient).</t>
        </is>
      </c>
      <c r="E39" s="35" t="n">
        <v>2</v>
      </c>
      <c r="F39" s="39" t="inlineStr">
        <is>
          <t>N/A</t>
        </is>
      </c>
      <c r="G39" s="37" t="inlineStr">
        <is>
          <t>Automatically marked out of scope: No browser-rendered frontend surface is present in this repository.</t>
        </is>
      </c>
      <c r="H39" s="37" t="inlineStr">
        <is>
          <t>Automated scope inference</t>
        </is>
      </c>
      <c r="I39" s="30" t="inlineStr">
        <is>
          <t>Out of scope for VendNet as currently implemented, or the requirement does not apply to this REST API/backend.</t>
        </is>
      </c>
      <c r="J39" s="30" t="inlineStr">
        <is>
          <t>Scope inference</t>
        </is>
      </c>
      <c r="K39" s="30" t="inlineStr">
        <is>
          <t>Not required for current backend scope.</t>
        </is>
      </c>
      <c r="L39" s="30" t="inlineStr">
        <is>
          <t>No browser-rendered frontend surface is present in this repository.</t>
        </is>
      </c>
      <c r="M39" s="30" t="inlineStr">
        <is>
          <t>Revisit if the application scope changes.</t>
        </is>
      </c>
    </row>
    <row r="40" ht="30" customHeight="1" s="26">
      <c r="A40" s="34" t="inlineStr">
        <is>
          <t>V6.5</t>
        </is>
      </c>
      <c r="B40" s="34" t="inlineStr">
        <is>
          <t>General Multi-factor authentication requirements</t>
        </is>
      </c>
      <c r="C40" s="34" t="inlineStr">
        <is>
          <t>V6.5.5</t>
        </is>
      </c>
      <c r="D40" s="34" t="inlineStr">
        <is>
          <t>Verify that out-of-band authentication requests, codes, or tokens, as well as time-based one-time passwords (TOTPs) have a defined lifetime. Out of band requests must have a maximum lifetime of 10 minutes and for TOTP a maximum lifetime of 30 seconds.</t>
        </is>
      </c>
      <c r="E40" s="35" t="n">
        <v>2</v>
      </c>
      <c r="F40" s="36" t="inlineStr">
        <is>
          <t>Compliant</t>
        </is>
      </c>
      <c r="G40" s="34" t="inlineStr">
        <is>
          <t>Automatically marked compliant from passing evidence: administrator MFA; JWT signature and algorithm validation; JWT key strength and server-side signing; account status validation; failed-login lockout behaviour.</t>
        </is>
      </c>
      <c r="H40" s="34" t="inlineStr">
        <is>
          <t>SR-01; SR-03; SR-04; SR-05; SR-07; AuthServiceTest; AuthControllerIntegrationTest; AbuseCaseRegressionTest; JwtServiceTest; JwtAuthenticationFilterTest; SystemFunctionalTests; JWT service and signing/filter code detected; MFA/TOTP code and tests detected</t>
        </is>
      </c>
      <c r="I40" s="30" t="inlineStr">
        <is>
          <t>Automatically inferred as implemented or justified from passing tests, source code, configuration, or build artifacts.</t>
        </is>
      </c>
      <c r="J40" s="30" t="inlineStr">
        <is>
          <t>Automated repository evidence</t>
        </is>
      </c>
      <c r="K40" s="30" t="inlineStr">
        <is>
          <t>AuthServiceTest; AuthControllerIntegrationTest; AbuseCaseRegressionTest; JwtServiceTest; JwtAuthenticationFilterTest; SystemFunctionalTests; JWT service and signing/filter code detected; MFA/TOTP code and tests detected</t>
        </is>
      </c>
      <c r="L40" s="30" t="inlineStr">
        <is>
          <t>administrator MFA; JWT signature and algorithm validation; JWT key strength and server-side signing; account status validation; failed-login lockout behaviour</t>
        </is>
      </c>
      <c r="M40" s="30" t="inlineStr">
        <is>
          <t>Keep make asvs-tracker passing; reassess if code, tests, or scope changes.</t>
        </is>
      </c>
    </row>
    <row r="41" ht="30" customHeight="1" s="26">
      <c r="A41" s="37" t="inlineStr">
        <is>
          <t>V6.5</t>
        </is>
      </c>
      <c r="B41" s="37" t="inlineStr">
        <is>
          <t>General Multi-factor authentication requirements</t>
        </is>
      </c>
      <c r="C41" s="37" t="inlineStr">
        <is>
          <t>V6.5.6</t>
        </is>
      </c>
      <c r="D41" s="37" t="inlineStr">
        <is>
          <t>Verify that any authentication factor (including physical devices) can be revoked in case of theft or other loss.</t>
        </is>
      </c>
      <c r="E41" s="40" t="n">
        <v>3</v>
      </c>
      <c r="F41" s="36" t="inlineStr">
        <is>
          <t>Compliant</t>
        </is>
      </c>
      <c r="G41" s="37" t="inlineStr">
        <is>
          <t>Automatically marked compliant from passing evidence: administrator MFA; account status validation; failed-login lockout behaviour.</t>
        </is>
      </c>
      <c r="H41" s="37" t="inlineStr">
        <is>
          <t>SR-22; SR-01; SR-05; SR-07; AuthServiceTest; AuthControllerIntegrationTest; SystemFunctionalTests; MFA/TOTP code and tests detected</t>
        </is>
      </c>
      <c r="I41" s="30" t="inlineStr">
        <is>
          <t>Automatically inferred as implemented or justified from passing tests, source code, configuration, or build artifacts.</t>
        </is>
      </c>
      <c r="J41" s="30" t="inlineStr">
        <is>
          <t>Automated repository evidence</t>
        </is>
      </c>
      <c r="K41" s="30" t="inlineStr">
        <is>
          <t>AuthServiceTest; AuthControllerIntegrationTest; SystemFunctionalTests; MFA/TOTP code and tests detected</t>
        </is>
      </c>
      <c r="L41" s="30" t="inlineStr">
        <is>
          <t>administrator MFA; account status validation; failed-login lockout behaviour</t>
        </is>
      </c>
      <c r="M41" s="30" t="inlineStr">
        <is>
          <t>Keep make asvs-tracker passing; reassess if code, tests, or scope changes.</t>
        </is>
      </c>
    </row>
    <row r="42" ht="30" customHeight="1" s="26">
      <c r="A42" s="34" t="inlineStr">
        <is>
          <t>V6.5</t>
        </is>
      </c>
      <c r="B42" s="34" t="inlineStr">
        <is>
          <t>General Multi-factor authentication requirements</t>
        </is>
      </c>
      <c r="C42" s="34" t="inlineStr">
        <is>
          <t>V6.5.7</t>
        </is>
      </c>
      <c r="D42" s="34" t="inlineStr">
        <is>
          <t>Verify that biometric authentication mechanisms are only used as secondary factors together with either something you have or something you know.</t>
        </is>
      </c>
      <c r="E42" s="40" t="n">
        <v>3</v>
      </c>
      <c r="F42" s="36" t="inlineStr">
        <is>
          <t>Compliant</t>
        </is>
      </c>
      <c r="G42" s="34" t="inlineStr">
        <is>
          <t>Automatically marked compliant from passing evidence: administrator MFA; account status validation; failed-login lockout behaviour.</t>
        </is>
      </c>
      <c r="H42" s="34" t="inlineStr">
        <is>
          <t>SR-01; SR-05; SR-07; AuthServiceTest; AuthControllerIntegrationTest; SystemFunctionalTests; MFA/TOTP code and tests detected</t>
        </is>
      </c>
      <c r="I42" s="30" t="inlineStr">
        <is>
          <t>Automatically inferred as implemented or justified from passing tests, source code, configuration, or build artifacts.</t>
        </is>
      </c>
      <c r="J42" s="30" t="inlineStr">
        <is>
          <t>Automated repository evidence</t>
        </is>
      </c>
      <c r="K42" s="30" t="inlineStr">
        <is>
          <t>AuthServiceTest; AuthControllerIntegrationTest; SystemFunctionalTests; MFA/TOTP code and tests detected</t>
        </is>
      </c>
      <c r="L42" s="30" t="inlineStr">
        <is>
          <t>administrator MFA; account status validation; failed-login lockout behaviour</t>
        </is>
      </c>
      <c r="M42" s="30" t="inlineStr">
        <is>
          <t>Keep make asvs-tracker passing; reassess if code, tests, or scope changes.</t>
        </is>
      </c>
    </row>
    <row r="43" ht="30" customHeight="1" s="26">
      <c r="A43" s="37" t="inlineStr">
        <is>
          <t>V6.5</t>
        </is>
      </c>
      <c r="B43" s="37" t="inlineStr">
        <is>
          <t>General Multi-factor authentication requirements</t>
        </is>
      </c>
      <c r="C43" s="37" t="inlineStr">
        <is>
          <t>V6.5.8</t>
        </is>
      </c>
      <c r="D43" s="37" t="inlineStr">
        <is>
          <t>Verify that time-based one-time passwords (TOTPs) are checked based on a time source from a trusted service and not from an untrusted or client provided time.</t>
        </is>
      </c>
      <c r="E43" s="40" t="n">
        <v>3</v>
      </c>
      <c r="F43" s="36" t="inlineStr">
        <is>
          <t>Compliant</t>
        </is>
      </c>
      <c r="G43" s="37" t="inlineStr">
        <is>
          <t>Automatically marked compliant from passing evidence: administrator MFA; account status validation; failed-login lockout behaviour.</t>
        </is>
      </c>
      <c r="H43" s="37" t="inlineStr">
        <is>
          <t>SR-01; SR-05; SR-07; AuthServiceTest; AuthControllerIntegrationTest; SystemFunctionalTests; MFA/TOTP code and tests detected</t>
        </is>
      </c>
      <c r="I43" s="30" t="inlineStr">
        <is>
          <t>Automatically inferred as implemented or justified from passing tests, source code, configuration, or build artifacts.</t>
        </is>
      </c>
      <c r="J43" s="30" t="inlineStr">
        <is>
          <t>Automated repository evidence</t>
        </is>
      </c>
      <c r="K43" s="30" t="inlineStr">
        <is>
          <t>AuthServiceTest; AuthControllerIntegrationTest; SystemFunctionalTests; MFA/TOTP code and tests detected</t>
        </is>
      </c>
      <c r="L43" s="30" t="inlineStr">
        <is>
          <t>administrator MFA; account status validation; failed-login lockout behaviour</t>
        </is>
      </c>
      <c r="M43" s="30" t="inlineStr">
        <is>
          <t>Keep make asvs-tracker passing; reassess if code, tests, or scope changes.</t>
        </is>
      </c>
    </row>
    <row r="44" ht="18" customHeight="1" s="26">
      <c r="A44" s="33" t="inlineStr">
        <is>
          <t>V6.6</t>
        </is>
      </c>
      <c r="B44" s="33" t="inlineStr">
        <is>
          <t>Out-of-Band authentication mechanisms</t>
        </is>
      </c>
      <c r="C44" s="33" t="n"/>
      <c r="D44" s="33" t="n"/>
      <c r="E44" s="33" t="n"/>
      <c r="F44" s="33" t="n"/>
      <c r="G44" s="33" t="n"/>
      <c r="H44" s="33" t="n"/>
      <c r="I44" s="30" t="n"/>
      <c r="J44" s="30" t="n"/>
      <c r="K44" s="30" t="n"/>
      <c r="L44" s="30" t="n"/>
      <c r="M44" s="30" t="n"/>
    </row>
    <row r="45" ht="30" customHeight="1" s="26">
      <c r="A45" s="34" t="inlineStr">
        <is>
          <t>V6.6</t>
        </is>
      </c>
      <c r="B45" s="34" t="inlineStr">
        <is>
          <t>Out-of-Band authentication mechanisms</t>
        </is>
      </c>
      <c r="C45" s="34" t="inlineStr">
        <is>
          <t>V6.6.1</t>
        </is>
      </c>
      <c r="D45" s="34"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35" t="n">
        <v>2</v>
      </c>
      <c r="F45" s="36" t="inlineStr">
        <is>
          <t>Compliant</t>
        </is>
      </c>
      <c r="G45" s="34" t="inlineStr">
        <is>
          <t>Automatically marked compliant from passing evidence: administrator MFA; account status validation; failed-login lockout behaviour.</t>
        </is>
      </c>
      <c r="H45" s="34" t="inlineStr">
        <is>
          <t>SR-01; SR-05; SR-07; AuthServiceTest; AuthControllerIntegrationTest; SystemFunctionalTests; MFA/TOTP code and tests detected</t>
        </is>
      </c>
      <c r="I45" s="30" t="inlineStr">
        <is>
          <t>Automatically inferred as implemented or justified from passing tests, source code, configuration, or build artifacts.</t>
        </is>
      </c>
      <c r="J45" s="30" t="inlineStr">
        <is>
          <t>Automated repository evidence</t>
        </is>
      </c>
      <c r="K45" s="30" t="inlineStr">
        <is>
          <t>AuthServiceTest; AuthControllerIntegrationTest; SystemFunctionalTests; MFA/TOTP code and tests detected</t>
        </is>
      </c>
      <c r="L45" s="30" t="inlineStr">
        <is>
          <t>administrator MFA; account status validation; failed-login lockout behaviour</t>
        </is>
      </c>
      <c r="M45" s="30" t="inlineStr">
        <is>
          <t>Keep make asvs-tracker passing; reassess if code, tests, or scope changes.</t>
        </is>
      </c>
    </row>
    <row r="46" ht="30" customHeight="1" s="26">
      <c r="A46" s="37" t="inlineStr">
        <is>
          <t>V6.6</t>
        </is>
      </c>
      <c r="B46" s="37" t="inlineStr">
        <is>
          <t>Out-of-Band authentication mechanisms</t>
        </is>
      </c>
      <c r="C46" s="37" t="inlineStr">
        <is>
          <t>V6.6.2</t>
        </is>
      </c>
      <c r="D46" s="37" t="inlineStr">
        <is>
          <t>Verify that out-of-band authentication requests, codes, or tokens are bound to the original authentication request for which they were generated and are not usable for a previous or subsequent one.</t>
        </is>
      </c>
      <c r="E46" s="35" t="n">
        <v>2</v>
      </c>
      <c r="F46" s="36" t="inlineStr">
        <is>
          <t>Compliant</t>
        </is>
      </c>
      <c r="G46" s="37" t="inlineStr">
        <is>
          <t>Automatically marked compliant from passing evidence: administrator MFA; JWT signature and algorithm validation; JWT key strength and server-side signing; account status validation; failed-login lockout behaviour.</t>
        </is>
      </c>
      <c r="H46" s="37" t="inlineStr">
        <is>
          <t>SR-01; SR-03; SR-04; SR-05; SR-07; AuthServiceTest; AuthControllerIntegrationTest; AbuseCaseRegressionTest; JwtServiceTest; JwtAuthenticationFilterTest; SystemFunctionalTests; JWT service and signing/filter code detected; MFA/TOTP code and tests detected</t>
        </is>
      </c>
      <c r="I46" s="30" t="inlineStr">
        <is>
          <t>Automatically inferred as implemented or justified from passing tests, source code, configuration, or build artifacts.</t>
        </is>
      </c>
      <c r="J46" s="30" t="inlineStr">
        <is>
          <t>Automated repository evidence</t>
        </is>
      </c>
      <c r="K46" s="30" t="inlineStr">
        <is>
          <t>AuthServiceTest; AuthControllerIntegrationTest; AbuseCaseRegressionTest; JwtServiceTest; JwtAuthenticationFilterTest; SystemFunctionalTests; JWT service and signing/filter code detected; MFA/TOTP code and tests detected</t>
        </is>
      </c>
      <c r="L46" s="30" t="inlineStr">
        <is>
          <t>administrator MFA; JWT signature and algorithm validation; JWT key strength and server-side signing; account status validation; failed-login lockout behaviour</t>
        </is>
      </c>
      <c r="M46" s="30" t="inlineStr">
        <is>
          <t>Keep make asvs-tracker passing; reassess if code, tests, or scope changes.</t>
        </is>
      </c>
    </row>
    <row r="47" ht="30" customHeight="1" s="26">
      <c r="A47" s="34" t="inlineStr">
        <is>
          <t>V6.6</t>
        </is>
      </c>
      <c r="B47" s="34" t="inlineStr">
        <is>
          <t>Out-of-Band authentication mechanisms</t>
        </is>
      </c>
      <c r="C47" s="34" t="inlineStr">
        <is>
          <t>V6.6.3</t>
        </is>
      </c>
      <c r="D47" s="34" t="inlineStr">
        <is>
          <t>Verify that a code based out-of-band authentication mechanism is protected against brute force attacks by using rate limiting. Consider also using a code with at least 64 bits of entropy.</t>
        </is>
      </c>
      <c r="E47" s="35" t="n">
        <v>2</v>
      </c>
      <c r="F47" s="36" t="inlineStr">
        <is>
          <t>Compliant</t>
        </is>
      </c>
      <c r="G47" s="34" t="inlineStr">
        <is>
          <t>Automatically marked compliant from passing evidence: administrator MFA; account status validation; failed-login lockout behaviour.</t>
        </is>
      </c>
      <c r="H47" s="34" t="inlineStr">
        <is>
          <t>SR-01; NFR-07; SR-05; SR-07; AuthServiceTest; AuthControllerIntegrationTest; SystemFunctionalTests; MFA/TOTP code and tests detected</t>
        </is>
      </c>
      <c r="I47" s="30" t="inlineStr">
        <is>
          <t>Automatically inferred as implemented or justified from passing tests, source code, configuration, or build artifacts.</t>
        </is>
      </c>
      <c r="J47" s="30" t="inlineStr">
        <is>
          <t>Automated repository evidence</t>
        </is>
      </c>
      <c r="K47" s="30" t="inlineStr">
        <is>
          <t>AuthServiceTest; AuthControllerIntegrationTest; SystemFunctionalTests; MFA/TOTP code and tests detected</t>
        </is>
      </c>
      <c r="L47" s="30" t="inlineStr">
        <is>
          <t>administrator MFA; account status validation; failed-login lockout behaviour</t>
        </is>
      </c>
      <c r="M47" s="30" t="inlineStr">
        <is>
          <t>Keep make asvs-tracker passing; reassess if code, tests, or scope changes.</t>
        </is>
      </c>
    </row>
    <row r="48" ht="30" customHeight="1" s="26">
      <c r="A48" s="37" t="inlineStr">
        <is>
          <t>V6.6</t>
        </is>
      </c>
      <c r="B48" s="37" t="inlineStr">
        <is>
          <t>Out-of-Band authentication mechanisms</t>
        </is>
      </c>
      <c r="C48" s="37" t="inlineStr">
        <is>
          <t>V6.6.4</t>
        </is>
      </c>
      <c r="D48" s="37" t="inlineStr">
        <is>
          <t>Verify that, where push notifications are used for multi-factor authentication, rate limiting is used to prevent push bombing attacks. Number matching may also mitigate this risk.</t>
        </is>
      </c>
      <c r="E48" s="40" t="n">
        <v>3</v>
      </c>
      <c r="F48" s="36" t="inlineStr">
        <is>
          <t>Compliant</t>
        </is>
      </c>
      <c r="G48" s="37" t="inlineStr">
        <is>
          <t>Automatically marked compliant from passing evidence: administrator MFA; account status validation; failed-login lockout behaviour.</t>
        </is>
      </c>
      <c r="H48" s="37" t="inlineStr">
        <is>
          <t>SR-01; SR-05; SR-07; AuthServiceTest; AuthControllerIntegrationTest; SystemFunctionalTests; MFA/TOTP code and tests detected</t>
        </is>
      </c>
      <c r="I48" s="30" t="inlineStr">
        <is>
          <t>Automatically inferred as implemented or justified from passing tests, source code, configuration, or build artifacts.</t>
        </is>
      </c>
      <c r="J48" s="30" t="inlineStr">
        <is>
          <t>Automated repository evidence</t>
        </is>
      </c>
      <c r="K48" s="30" t="inlineStr">
        <is>
          <t>AuthServiceTest; AuthControllerIntegrationTest; SystemFunctionalTests; MFA/TOTP code and tests detected</t>
        </is>
      </c>
      <c r="L48" s="30" t="inlineStr">
        <is>
          <t>administrator MFA; account status validation; failed-login lockout behaviour</t>
        </is>
      </c>
      <c r="M48" s="30" t="inlineStr">
        <is>
          <t>Keep make asvs-tracker passing; reassess if code, tests, or scope changes.</t>
        </is>
      </c>
    </row>
    <row r="49" ht="18" customHeight="1" s="26">
      <c r="A49" s="33" t="inlineStr">
        <is>
          <t>V6.7</t>
        </is>
      </c>
      <c r="B49" s="33" t="inlineStr">
        <is>
          <t>Cryptographic authentication mechanism</t>
        </is>
      </c>
      <c r="C49" s="33" t="n"/>
      <c r="D49" s="33" t="n"/>
      <c r="E49" s="33" t="n"/>
      <c r="F49" s="33" t="n"/>
      <c r="G49" s="33" t="n"/>
      <c r="H49" s="33" t="n"/>
      <c r="I49" s="30" t="n"/>
      <c r="J49" s="30" t="n"/>
      <c r="K49" s="30" t="n"/>
      <c r="L49" s="30" t="n"/>
      <c r="M49" s="30" t="n"/>
    </row>
    <row r="50" ht="30" customHeight="1" s="26">
      <c r="A50" s="34" t="inlineStr">
        <is>
          <t>V6.7</t>
        </is>
      </c>
      <c r="B50" s="34" t="inlineStr">
        <is>
          <t>Cryptographic authentication mechanism</t>
        </is>
      </c>
      <c r="C50" s="34" t="inlineStr">
        <is>
          <t>V6.7.1</t>
        </is>
      </c>
      <c r="D50" s="34" t="inlineStr">
        <is>
          <t>Verify that the certificates used to verify cryptographic authentication assertions are stored in a way protects them from modification.</t>
        </is>
      </c>
      <c r="E50" s="40" t="n">
        <v>3</v>
      </c>
      <c r="F50" s="36" t="inlineStr">
        <is>
          <t>Compliant</t>
        </is>
      </c>
      <c r="G50" s="34" t="inlineStr">
        <is>
          <t>Automatically marked compliant from passing evidence: administrator MFA; account status validation; failed-login lockout behaviour; TLS configuration; machine mTLS authentication paths.</t>
        </is>
      </c>
      <c r="H50" s="34" t="inlineStr">
        <is>
          <t>SR-22; SR-01; SR-05; SR-07; SR-17; SR-18; AuthServiceTest; AuthControllerIntegrationTest; SystemFunctionalTests; application-prod.properties; X509MachineAuthenticationFilterTest; TelemetryServiceTest; MFA/TOTP code and tests detected; X.509/mTLS machine authentication code detected</t>
        </is>
      </c>
      <c r="I50" s="30" t="inlineStr">
        <is>
          <t>Automatically inferred as implemented or justified from passing tests, source code, configuration, or build artifacts.</t>
        </is>
      </c>
      <c r="J50" s="30" t="inlineStr">
        <is>
          <t>Automated repository evidence</t>
        </is>
      </c>
      <c r="K50" s="30" t="inlineStr">
        <is>
          <t>AuthServiceTest; AuthControllerIntegrationTest; SystemFunctionalTests; application-prod.properties; X509MachineAuthenticationFilterTest; TelemetryServiceTest; MFA/TOTP code and tests detected; X.509/mTLS machine authentication code detected</t>
        </is>
      </c>
      <c r="L50" s="30" t="inlineStr">
        <is>
          <t>administrator MFA; account status validation; failed-login lockout behaviour; TLS configuration; machine mTLS authentication paths</t>
        </is>
      </c>
      <c r="M50" s="30" t="inlineStr">
        <is>
          <t>Keep make asvs-tracker passing; reassess if code, tests, or scope changes.</t>
        </is>
      </c>
    </row>
    <row r="51" ht="30" customHeight="1" s="26">
      <c r="A51" s="37" t="inlineStr">
        <is>
          <t>V6.7</t>
        </is>
      </c>
      <c r="B51" s="37" t="inlineStr">
        <is>
          <t>Cryptographic authentication mechanism</t>
        </is>
      </c>
      <c r="C51" s="37" t="inlineStr">
        <is>
          <t>V6.7.2</t>
        </is>
      </c>
      <c r="D51" s="37" t="inlineStr">
        <is>
          <t>Verify that the challenge nonce is at least 64 bits in length, and statistically unique or unique over the lifetime of the cryptographic device.</t>
        </is>
      </c>
      <c r="E51" s="40" t="n">
        <v>3</v>
      </c>
      <c r="F51" s="36" t="inlineStr">
        <is>
          <t>Compliant</t>
        </is>
      </c>
      <c r="G51" s="37" t="inlineStr">
        <is>
          <t>Automatically marked compliant from passing evidence: administrator MFA; account status validation; failed-login lockout behaviour.</t>
        </is>
      </c>
      <c r="H51" s="37" t="inlineStr">
        <is>
          <t>SR-01; SR-05; SR-07; AuthServiceTest; AuthControllerIntegrationTest; SystemFunctionalTests; MFA/TOTP code and tests detected</t>
        </is>
      </c>
      <c r="I51" s="30" t="inlineStr">
        <is>
          <t>Automatically inferred as implemented or justified from passing tests, source code, configuration, or build artifacts.</t>
        </is>
      </c>
      <c r="J51" s="30" t="inlineStr">
        <is>
          <t>Automated repository evidence</t>
        </is>
      </c>
      <c r="K51" s="30" t="inlineStr">
        <is>
          <t>AuthServiceTest; AuthControllerIntegrationTest; SystemFunctionalTests; MFA/TOTP code and tests detected</t>
        </is>
      </c>
      <c r="L51" s="30" t="inlineStr">
        <is>
          <t>administrator MFA; account status validation; failed-login lockout behaviour</t>
        </is>
      </c>
      <c r="M51" s="30" t="inlineStr">
        <is>
          <t>Keep make asvs-tracker passing; reassess if code, tests, or scope changes.</t>
        </is>
      </c>
    </row>
    <row r="52" ht="18" customHeight="1" s="26">
      <c r="A52" s="33" t="inlineStr">
        <is>
          <t>V6.8</t>
        </is>
      </c>
      <c r="B52" s="33" t="inlineStr">
        <is>
          <t>Authentication with an Identity Provider</t>
        </is>
      </c>
      <c r="C52" s="33" t="n"/>
      <c r="D52" s="33" t="n"/>
      <c r="E52" s="33" t="n"/>
      <c r="F52" s="33" t="n"/>
      <c r="G52" s="33" t="n"/>
      <c r="H52" s="33" t="n"/>
      <c r="I52" s="30" t="n"/>
      <c r="J52" s="30" t="n"/>
      <c r="K52" s="30" t="n"/>
      <c r="L52" s="30" t="n"/>
      <c r="M52" s="30" t="n"/>
    </row>
    <row r="53" ht="30" customHeight="1" s="26">
      <c r="A53" s="34" t="inlineStr">
        <is>
          <t>V6.8</t>
        </is>
      </c>
      <c r="B53" s="34" t="inlineStr">
        <is>
          <t>Authentication with an Identity Provider</t>
        </is>
      </c>
      <c r="C53" s="34" t="inlineStr">
        <is>
          <t>V6.8.1</t>
        </is>
      </c>
      <c r="D53" s="34"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35" t="n">
        <v>2</v>
      </c>
      <c r="F53" s="36" t="inlineStr">
        <is>
          <t>Compliant</t>
        </is>
      </c>
      <c r="G53" s="34" t="inlineStr">
        <is>
          <t>Automatically marked compliant from passing evidence: administrator MFA; account status validation; failed-login lockout behaviour.</t>
        </is>
      </c>
      <c r="H53" s="34" t="inlineStr">
        <is>
          <t>SR-01; SR-05; SR-07; AuthServiceTest; AuthControllerIntegrationTest; SystemFunctionalTests; MFA/TOTP code and tests detected</t>
        </is>
      </c>
      <c r="I53" s="30" t="inlineStr">
        <is>
          <t>Automatically inferred as implemented or justified from passing tests, source code, configuration, or build artifacts.</t>
        </is>
      </c>
      <c r="J53" s="30" t="inlineStr">
        <is>
          <t>Automated repository evidence</t>
        </is>
      </c>
      <c r="K53" s="30" t="inlineStr">
        <is>
          <t>AuthServiceTest; AuthControllerIntegrationTest; SystemFunctionalTests; MFA/TOTP code and tests detected</t>
        </is>
      </c>
      <c r="L53" s="30" t="inlineStr">
        <is>
          <t>administrator MFA; account status validation; failed-login lockout behaviour</t>
        </is>
      </c>
      <c r="M53" s="30" t="inlineStr">
        <is>
          <t>Keep make asvs-tracker passing; reassess if code, tests, or scope changes.</t>
        </is>
      </c>
    </row>
    <row r="54" ht="30" customHeight="1" s="26">
      <c r="A54" s="37" t="inlineStr">
        <is>
          <t>V6.8</t>
        </is>
      </c>
      <c r="B54" s="37" t="inlineStr">
        <is>
          <t>Authentication with an Identity Provider</t>
        </is>
      </c>
      <c r="C54" s="37" t="inlineStr">
        <is>
          <t>V6.8.2</t>
        </is>
      </c>
      <c r="D54" s="37" t="inlineStr">
        <is>
          <t>Verify that the presence and integrity of digital signatures on authentication assertions (for example on JWTs or SAML assertions) are always validated, rejecting any assertions that are unsigned or have invalid signatures.</t>
        </is>
      </c>
      <c r="E54" s="35" t="n">
        <v>2</v>
      </c>
      <c r="F54" s="36" t="inlineStr">
        <is>
          <t>Compliant</t>
        </is>
      </c>
      <c r="G54" s="37" t="inlineStr">
        <is>
          <t>Automatically marked compliant from passing evidence: JWT signature and algorithm validation; JWT key strength and server-side signing; administrator MFA; account status validation; failed-login lockout behaviour.</t>
        </is>
      </c>
      <c r="H54" s="37" t="inlineStr">
        <is>
          <t>SR-03; SR-04; SR-01; SR-05; SR-07; AbuseCaseRegressionTest; JwtServiceTest; JwtAuthenticationFilterTest; AuthServiceTest; AuthControllerIntegrationTest; SystemFunctionalTests; JWT service and signing/filter code detected; MFA/TOTP code and tests detected</t>
        </is>
      </c>
      <c r="I54" s="30" t="inlineStr">
        <is>
          <t>Automatically inferred as implemented or justified from passing tests, source code, configuration, or build artifacts.</t>
        </is>
      </c>
      <c r="J54" s="30" t="inlineStr">
        <is>
          <t>Automated repository evidence</t>
        </is>
      </c>
      <c r="K54" s="30" t="inlineStr">
        <is>
          <t>AbuseCaseRegressionTest; JwtServiceTest; JwtAuthenticationFilterTest; AuthServiceTest; AuthControllerIntegrationTest; SystemFunctionalTests; JWT service and signing/filter code detected; MFA/TOTP code and tests detected</t>
        </is>
      </c>
      <c r="L54" s="30" t="inlineStr">
        <is>
          <t>JWT signature and algorithm validation; JWT key strength and server-side signing; administrator MFA; account status validation; failed-login lockout behaviour</t>
        </is>
      </c>
      <c r="M54" s="30" t="inlineStr">
        <is>
          <t>Keep make asvs-tracker passing; reassess if code, tests, or scope changes.</t>
        </is>
      </c>
    </row>
    <row r="55" ht="30" customHeight="1" s="26">
      <c r="A55" s="34" t="inlineStr">
        <is>
          <t>V6.8</t>
        </is>
      </c>
      <c r="B55" s="34" t="inlineStr">
        <is>
          <t>Authentication with an Identity Provider</t>
        </is>
      </c>
      <c r="C55" s="34" t="inlineStr">
        <is>
          <t>V6.8.3</t>
        </is>
      </c>
      <c r="D55" s="34" t="inlineStr">
        <is>
          <t>Verify that SAML assertions are uniquely processed and used only once within the validity period to prevent replay attacks.</t>
        </is>
      </c>
      <c r="E55" s="35" t="n">
        <v>2</v>
      </c>
      <c r="F55" s="36" t="inlineStr">
        <is>
          <t>Compliant</t>
        </is>
      </c>
      <c r="G55" s="34" t="inlineStr">
        <is>
          <t>Automatically marked compliant from passing evidence: administrator MFA; account status validation; failed-login lockout behaviour.</t>
        </is>
      </c>
      <c r="H55" s="34" t="inlineStr">
        <is>
          <t>SR-01; SR-05; SR-07; AuthServiceTest; AuthControllerIntegrationTest; SystemFunctionalTests; MFA/TOTP code and tests detected</t>
        </is>
      </c>
      <c r="I55" s="30" t="inlineStr">
        <is>
          <t>Automatically inferred as implemented or justified from passing tests, source code, configuration, or build artifacts.</t>
        </is>
      </c>
      <c r="J55" s="30" t="inlineStr">
        <is>
          <t>Automated repository evidence</t>
        </is>
      </c>
      <c r="K55" s="30" t="inlineStr">
        <is>
          <t>AuthServiceTest; AuthControllerIntegrationTest; SystemFunctionalTests; MFA/TOTP code and tests detected</t>
        </is>
      </c>
      <c r="L55" s="30" t="inlineStr">
        <is>
          <t>administrator MFA; account status validation; failed-login lockout behaviour</t>
        </is>
      </c>
      <c r="M55" s="30" t="inlineStr">
        <is>
          <t>Keep make asvs-tracker passing; reassess if code, tests, or scope changes.</t>
        </is>
      </c>
    </row>
    <row r="56" ht="30" customHeight="1" s="26">
      <c r="A56" s="37" t="inlineStr">
        <is>
          <t>V6.8</t>
        </is>
      </c>
      <c r="B56" s="37" t="inlineStr">
        <is>
          <t>Authentication with an Identity Provider</t>
        </is>
      </c>
      <c r="C56" s="37" t="inlineStr">
        <is>
          <t>V6.8.4</t>
        </is>
      </c>
      <c r="D56" s="37"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35" t="n">
        <v>2</v>
      </c>
      <c r="F56" s="36" t="inlineStr">
        <is>
          <t>Compliant</t>
        </is>
      </c>
      <c r="G56" s="37" t="inlineStr">
        <is>
          <t>Automatically marked compliant from passing evidence: administrator MFA; JWT signature and algorithm validation; JWT key strength and server-side signing; account status validation; failed-login lockout behaviour.</t>
        </is>
      </c>
      <c r="H56" s="37" t="inlineStr">
        <is>
          <t>SR-01; SR-03; SR-04; SR-05; SR-07; AuthServiceTest; AuthControllerIntegrationTest; AbuseCaseRegressionTest; JwtServiceTest; JwtAuthenticationFilterTest; SystemFunctionalTests; JWT service and signing/filter code detected; MFA/TOTP code and tests detected</t>
        </is>
      </c>
      <c r="I56" s="30" t="inlineStr">
        <is>
          <t>Automatically inferred as implemented or justified from passing tests, source code, configuration, or build artifacts.</t>
        </is>
      </c>
      <c r="J56" s="30" t="inlineStr">
        <is>
          <t>Automated repository evidence</t>
        </is>
      </c>
      <c r="K56" s="30" t="inlineStr">
        <is>
          <t>AuthServiceTest; AuthControllerIntegrationTest; AbuseCaseRegressionTest; JwtServiceTest; JwtAuthenticationFilterTest; SystemFunctionalTests; JWT service and signing/filter code detected; MFA/TOTP code and tests detected</t>
        </is>
      </c>
      <c r="L56" s="30" t="inlineStr">
        <is>
          <t>administrator MFA; JWT signature and algorithm validation; JWT key strength and server-side signing; account status validation; failed-login lockout behaviour</t>
        </is>
      </c>
      <c r="M56" s="30" t="inlineStr">
        <is>
          <t>Keep make asvs-tracker passing; reassess if code, tests, or scope changes.</t>
        </is>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9.xml><?xml version="1.0" encoding="utf-8"?>
<worksheet xmlns="http://schemas.openxmlformats.org/spreadsheetml/2006/main">
  <sheetPr>
    <outlinePr summaryBelow="1" summaryRight="1"/>
    <pageSetUpPr/>
  </sheetPr>
  <dimension ref="A1:M2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V7.1</t>
        </is>
      </c>
      <c r="B2" s="33" t="inlineStr">
        <is>
          <t>Session Management Documentation</t>
        </is>
      </c>
      <c r="C2" s="33" t="n"/>
      <c r="D2" s="33" t="n"/>
      <c r="E2" s="33" t="n"/>
      <c r="F2" s="33" t="n"/>
      <c r="G2" s="33" t="n"/>
      <c r="H2" s="33" t="n"/>
      <c r="I2" s="30" t="n"/>
      <c r="J2" s="30" t="n"/>
      <c r="K2" s="30" t="n"/>
      <c r="L2" s="30" t="n"/>
      <c r="M2" s="30" t="n"/>
    </row>
    <row r="3" ht="30" customHeight="1" s="26">
      <c r="A3" s="34" t="inlineStr">
        <is>
          <t>V7.1</t>
        </is>
      </c>
      <c r="B3" s="34" t="inlineStr">
        <is>
          <t>Session Management Documentation</t>
        </is>
      </c>
      <c r="C3" s="34" t="inlineStr">
        <is>
          <t>V7.1.1</t>
        </is>
      </c>
      <c r="D3" s="34"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35" t="n">
        <v>2</v>
      </c>
      <c r="F3" s="36" t="inlineStr">
        <is>
          <t>Compliant</t>
        </is>
      </c>
      <c r="G3" s="34" t="inlineStr">
        <is>
          <t>Automatically marked compliant from passing evidence: account status validation; administrator MFA; failed-login lockout behaviour.</t>
        </is>
      </c>
      <c r="H3" s="34" t="inlineStr">
        <is>
          <t>SR-05; SR-01; SR-07; AuthServiceTest; AuthControllerIntegrationTest; SystemFunctionalTests; MFA/TOTP code and tests detected</t>
        </is>
      </c>
      <c r="I3" s="30" t="inlineStr">
        <is>
          <t>Automatically inferred as implemented or justified from passing tests, source code, configuration, or build artifacts.</t>
        </is>
      </c>
      <c r="J3" s="30" t="inlineStr">
        <is>
          <t>Automated repository evidence</t>
        </is>
      </c>
      <c r="K3" s="30" t="inlineStr">
        <is>
          <t>AuthServiceTest; AuthControllerIntegrationTest; SystemFunctionalTests; MFA/TOTP code and tests detected</t>
        </is>
      </c>
      <c r="L3" s="30" t="inlineStr">
        <is>
          <t>account status validation; administrator MFA; failed-login lockout behaviour</t>
        </is>
      </c>
      <c r="M3" s="30" t="inlineStr">
        <is>
          <t>Keep make asvs-tracker passing; reassess if code, tests, or scope changes.</t>
        </is>
      </c>
    </row>
    <row r="4" ht="30" customHeight="1" s="26">
      <c r="A4" s="37" t="inlineStr">
        <is>
          <t>V7.1</t>
        </is>
      </c>
      <c r="B4" s="37" t="inlineStr">
        <is>
          <t>Session Management Documentation</t>
        </is>
      </c>
      <c r="C4" s="37" t="inlineStr">
        <is>
          <t>V7.1.2</t>
        </is>
      </c>
      <c r="D4" s="37" t="inlineStr">
        <is>
          <t>Verify that the documentation defines how many concurrent (parallel) sessions are allowed for one account as well as the intended behaviors and actions to be taken when the maximum number of active sessions is reached.</t>
        </is>
      </c>
      <c r="E4" s="35" t="n">
        <v>2</v>
      </c>
      <c r="F4" s="36" t="inlineStr">
        <is>
          <t>Compliant</t>
        </is>
      </c>
      <c r="G4" s="37" t="inlineStr">
        <is>
          <t>Automatically marked compliant from passing evidence: account status validation; transaction and stock consistency; server-side price enforcement; stock limit validation; client-supplied price abuse-case regression; TOCTOU/stock race abuse-case regression.</t>
        </is>
      </c>
      <c r="H4" s="37" t="inlineStr">
        <is>
          <t>SR-05; SR-15; SR-24; SR-25; AC-03; AC-07; AuthServiceTest; AuthControllerIntegrationTest; SaleServiceTest; SlotServiceTest; AbuseCaseRegressionTest</t>
        </is>
      </c>
      <c r="I4" s="30" t="inlineStr">
        <is>
          <t>Automatically inferred as implemented or justified from passing tests, source code, configuration, or build artifacts.</t>
        </is>
      </c>
      <c r="J4" s="30" t="inlineStr">
        <is>
          <t>Automated repository evidence</t>
        </is>
      </c>
      <c r="K4" s="30" t="inlineStr">
        <is>
          <t>AuthServiceTest; AuthControllerIntegrationTest; SaleServiceTest; SlotServiceTest; AbuseCaseRegressionTest</t>
        </is>
      </c>
      <c r="L4" s="30" t="inlineStr">
        <is>
          <t>account status validation; transaction and stock consistency; server-side price enforcement; stock limit validation; client-supplied price abuse-case regression; TOCTOU/stock race abuse-case regression</t>
        </is>
      </c>
      <c r="M4" s="30" t="inlineStr">
        <is>
          <t>Keep make asvs-tracker passing; reassess if code, tests, or scope changes.</t>
        </is>
      </c>
    </row>
    <row r="5" ht="30" customHeight="1" s="26">
      <c r="A5" s="34" t="inlineStr">
        <is>
          <t>V7.1</t>
        </is>
      </c>
      <c r="B5" s="34" t="inlineStr">
        <is>
          <t>Session Management Documentation</t>
        </is>
      </c>
      <c r="C5" s="34" t="inlineStr">
        <is>
          <t>V7.1.3</t>
        </is>
      </c>
      <c r="D5" s="34"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35" t="n">
        <v>2</v>
      </c>
      <c r="F5" s="36" t="inlineStr">
        <is>
          <t>Compliant</t>
        </is>
      </c>
      <c r="G5" s="34" t="inlineStr">
        <is>
          <t>Automatically marked compliant from passing evidence: administrator MFA; account status validation; failed-login lockout behaviour.</t>
        </is>
      </c>
      <c r="H5" s="34" t="inlineStr">
        <is>
          <t>SR-01; SR-05; SR-07; AuthServiceTest; AuthControllerIntegrationTest; SystemFunctionalTests; MFA/TOTP code and tests detected</t>
        </is>
      </c>
      <c r="I5" s="30" t="inlineStr">
        <is>
          <t>Automatically inferred as implemented or justified from passing tests, source code, configuration, or build artifacts.</t>
        </is>
      </c>
      <c r="J5" s="30" t="inlineStr">
        <is>
          <t>Automated repository evidence</t>
        </is>
      </c>
      <c r="K5" s="30" t="inlineStr">
        <is>
          <t>AuthServiceTest; AuthControllerIntegrationTest; SystemFunctionalTests; MFA/TOTP code and tests detected</t>
        </is>
      </c>
      <c r="L5" s="30" t="inlineStr">
        <is>
          <t>administrator MFA; account status validation; failed-login lockout behaviour</t>
        </is>
      </c>
      <c r="M5" s="30" t="inlineStr">
        <is>
          <t>Keep make asvs-tracker passing; reassess if code, tests, or scope changes.</t>
        </is>
      </c>
    </row>
    <row r="6" ht="18" customHeight="1" s="26">
      <c r="A6" s="33" t="inlineStr">
        <is>
          <t>V7.2</t>
        </is>
      </c>
      <c r="B6" s="33" t="inlineStr">
        <is>
          <t>Fundamental Session Management Security</t>
        </is>
      </c>
      <c r="C6" s="33" t="n"/>
      <c r="D6" s="33" t="n"/>
      <c r="E6" s="33" t="n"/>
      <c r="F6" s="33" t="n"/>
      <c r="G6" s="33" t="n"/>
      <c r="H6" s="33" t="n"/>
      <c r="I6" s="30" t="n"/>
      <c r="J6" s="30" t="n"/>
      <c r="K6" s="30" t="n"/>
      <c r="L6" s="30" t="n"/>
      <c r="M6" s="30" t="n"/>
    </row>
    <row r="7" ht="30" customHeight="1" s="26">
      <c r="A7" s="34" t="inlineStr">
        <is>
          <t>V7.2</t>
        </is>
      </c>
      <c r="B7" s="34" t="inlineStr">
        <is>
          <t>Fundamental Session Management Security</t>
        </is>
      </c>
      <c r="C7" s="34" t="inlineStr">
        <is>
          <t>V7.2.1</t>
        </is>
      </c>
      <c r="D7" s="34" t="inlineStr">
        <is>
          <t>Verify that the application performs all session token verification using a trusted, backend service.</t>
        </is>
      </c>
      <c r="E7" s="38" t="n">
        <v>1</v>
      </c>
      <c r="F7" s="36" t="inlineStr">
        <is>
          <t>Compliant</t>
        </is>
      </c>
      <c r="G7" s="34" t="inlineStr">
        <is>
          <t>Automatically marked compliant from passing evidence: JWT signature and algorithm validation; JWT key strength and server-side signing.</t>
        </is>
      </c>
      <c r="H7" s="34" t="inlineStr">
        <is>
          <t>SR-03; SR-04; AbuseCaseRegressionTest; JwtServiceTest; JwtAuthenticationFilterTest; JWT service and signing/filter code detected</t>
        </is>
      </c>
      <c r="I7" s="30" t="inlineStr">
        <is>
          <t>Automatically inferred as implemented or justified from passing tests, source code, configuration, or build artifacts.</t>
        </is>
      </c>
      <c r="J7" s="30" t="inlineStr">
        <is>
          <t>Automated repository evidence</t>
        </is>
      </c>
      <c r="K7" s="30" t="inlineStr">
        <is>
          <t>AbuseCaseRegressionTest; JwtServiceTest; JwtAuthenticationFilterTest; JWT service and signing/filter code detected</t>
        </is>
      </c>
      <c r="L7" s="30" t="inlineStr">
        <is>
          <t>JWT signature and algorithm validation; JWT key strength and server-side signing</t>
        </is>
      </c>
      <c r="M7" s="30" t="inlineStr">
        <is>
          <t>Keep make asvs-tracker passing; reassess if code, tests, or scope changes.</t>
        </is>
      </c>
    </row>
    <row r="8" ht="30" customHeight="1" s="26">
      <c r="A8" s="37" t="inlineStr">
        <is>
          <t>V7.2</t>
        </is>
      </c>
      <c r="B8" s="37" t="inlineStr">
        <is>
          <t>Fundamental Session Management Security</t>
        </is>
      </c>
      <c r="C8" s="37" t="inlineStr">
        <is>
          <t>V7.2.2</t>
        </is>
      </c>
      <c r="D8" s="37" t="inlineStr">
        <is>
          <t>Verify that the application uses either self-contained or reference tokens that are dynamically generated for session management, i.e. not using static API secrets and keys.</t>
        </is>
      </c>
      <c r="E8" s="38" t="n">
        <v>1</v>
      </c>
      <c r="F8" s="36" t="inlineStr">
        <is>
          <t>Compliant</t>
        </is>
      </c>
      <c r="G8" s="37" t="inlineStr">
        <is>
          <t>Automatically marked compliant from passing evidence: JWT signature and algorithm validation; JWT key strength and server-side signing; secrets externalized through configuration; pinned dependency rules.</t>
        </is>
      </c>
      <c r="H8" s="37" t="inlineStr">
        <is>
          <t>SR-03; SR-04; SR-11; SR-34; AbuseCaseRegressionTest; JwtServiceTest; JwtAuthenticationFilterTest; GitHub Actions secret scan; application-prod.properties; Maven Enforcer; pom.xml; JWT service and signing/filter code detected; SCA/SBOM/enforcer configuration detected; CI secret/security scanning configuration detected</t>
        </is>
      </c>
      <c r="I8" s="30" t="inlineStr">
        <is>
          <t>Automatically inferred as implemented or justified from passing tests, source code, configuration, or build artifacts.</t>
        </is>
      </c>
      <c r="J8" s="30" t="inlineStr">
        <is>
          <t>Automated repository evidence</t>
        </is>
      </c>
      <c r="K8" s="30" t="inlineStr">
        <is>
          <t>AbuseCaseRegressionTest; JwtServiceTest; JwtAuthenticationFilterTest; GitHub Actions secret scan; application-prod.properties; Maven Enforcer; pom.xml; JWT service and signing/filter code detected; SCA/SBOM/enforcer configuration detected; CI secret/security scanning configuration detected</t>
        </is>
      </c>
      <c r="L8" s="30" t="inlineStr">
        <is>
          <t>JWT signature and algorithm validation; JWT key strength and server-side signing; secrets externalized through configuration; pinned dependency rules</t>
        </is>
      </c>
      <c r="M8" s="30" t="inlineStr">
        <is>
          <t>Keep make asvs-tracker passing; reassess if code, tests, or scope changes.</t>
        </is>
      </c>
    </row>
    <row r="9" ht="30" customHeight="1" s="26">
      <c r="A9" s="34" t="inlineStr">
        <is>
          <t>V7.2</t>
        </is>
      </c>
      <c r="B9" s="34" t="inlineStr">
        <is>
          <t>Fundamental Session Management Security</t>
        </is>
      </c>
      <c r="C9" s="34" t="inlineStr">
        <is>
          <t>V7.2.3</t>
        </is>
      </c>
      <c r="D9" s="34" t="inlineStr">
        <is>
          <t>Verify that if reference tokens are used to represent user sessions, they are unique and generated using a cryptographically secure pseudo-random number generator (CSPRNG) and possess at least 128 bits of entropy.</t>
        </is>
      </c>
      <c r="E9" s="38" t="n">
        <v>1</v>
      </c>
      <c r="F9" s="39" t="inlineStr">
        <is>
          <t>N/A</t>
        </is>
      </c>
      <c r="G9" s="34" t="inlineStr">
        <is>
          <t>Automatically marked out of scope: No browser-rendered frontend surface is present in this repository.</t>
        </is>
      </c>
      <c r="H9" s="34" t="inlineStr">
        <is>
          <t>Automated scope inference</t>
        </is>
      </c>
      <c r="I9" s="30" t="inlineStr">
        <is>
          <t>Out of scope for VendNet as currently implemented, or the requirement does not apply to this REST API/backend.</t>
        </is>
      </c>
      <c r="J9" s="30" t="inlineStr">
        <is>
          <t>Scope inference</t>
        </is>
      </c>
      <c r="K9" s="30" t="inlineStr">
        <is>
          <t>Not required for current backend scope.</t>
        </is>
      </c>
      <c r="L9" s="30" t="inlineStr">
        <is>
          <t>No browser-rendered frontend surface is present in this repository.</t>
        </is>
      </c>
      <c r="M9" s="30" t="inlineStr">
        <is>
          <t>Revisit if the application scope changes.</t>
        </is>
      </c>
    </row>
    <row r="10" ht="30" customHeight="1" s="26">
      <c r="A10" s="37" t="inlineStr">
        <is>
          <t>V7.2</t>
        </is>
      </c>
      <c r="B10" s="37" t="inlineStr">
        <is>
          <t>Fundamental Session Management Security</t>
        </is>
      </c>
      <c r="C10" s="37" t="inlineStr">
        <is>
          <t>V7.2.4</t>
        </is>
      </c>
      <c r="D10" s="37" t="inlineStr">
        <is>
          <t>Verify that the application generates a new session token on user authentication, including re-authentication, and terminates the current session token.</t>
        </is>
      </c>
      <c r="E10" s="38" t="n">
        <v>1</v>
      </c>
      <c r="F10" s="36" t="inlineStr">
        <is>
          <t>Compliant</t>
        </is>
      </c>
      <c r="G10" s="37" t="inlineStr">
        <is>
          <t>Automatically marked compliant from passing evidence: account status validation; JWT signature and algorithm validation; JWT key strength and server-side signing; administrator MFA; failed-login lockout behaviour.</t>
        </is>
      </c>
      <c r="H10" s="37" t="inlineStr">
        <is>
          <t>SR-05; SR-03; SR-04; SR-01; SR-07; AuthServiceTest; AuthControllerIntegrationTest; AbuseCaseRegressionTest; JwtServiceTest; JwtAuthenticationFilterTest; SystemFunctionalTests; JWT service and signing/filter code detected; MFA/TOTP code and tests detected</t>
        </is>
      </c>
      <c r="I10" s="30" t="inlineStr">
        <is>
          <t>Automatically inferred as implemented or justified from passing tests, source code, configuration, or build artifacts.</t>
        </is>
      </c>
      <c r="J10" s="30" t="inlineStr">
        <is>
          <t>Automated repository evidence</t>
        </is>
      </c>
      <c r="K10" s="30" t="inlineStr">
        <is>
          <t>AuthServiceTest; AuthControllerIntegrationTest; AbuseCaseRegressionTest; JwtServiceTest; JwtAuthenticationFilterTest; SystemFunctionalTests; JWT service and signing/filter code detected; MFA/TOTP code and tests detected</t>
        </is>
      </c>
      <c r="L10" s="30" t="inlineStr">
        <is>
          <t>account status validation; JWT signature and algorithm validation; JWT key strength and server-side signing; administrator MFA; failed-login lockout behaviour</t>
        </is>
      </c>
      <c r="M10" s="30" t="inlineStr">
        <is>
          <t>Keep make asvs-tracker passing; reassess if code, tests, or scope changes.</t>
        </is>
      </c>
    </row>
    <row r="11" ht="18" customHeight="1" s="26">
      <c r="A11" s="33" t="inlineStr">
        <is>
          <t>V7.3</t>
        </is>
      </c>
      <c r="B11" s="33" t="inlineStr">
        <is>
          <t>Session Timeout</t>
        </is>
      </c>
      <c r="C11" s="33" t="n"/>
      <c r="D11" s="33" t="n"/>
      <c r="E11" s="33" t="n"/>
      <c r="F11" s="33" t="n"/>
      <c r="G11" s="33" t="n"/>
      <c r="H11" s="33" t="n"/>
      <c r="I11" s="30" t="n"/>
      <c r="J11" s="30" t="n"/>
      <c r="K11" s="30" t="n"/>
      <c r="L11" s="30" t="n"/>
      <c r="M11" s="30" t="n"/>
    </row>
    <row r="12" ht="30" customHeight="1" s="26">
      <c r="A12" s="34" t="inlineStr">
        <is>
          <t>V7.3</t>
        </is>
      </c>
      <c r="B12" s="34" t="inlineStr">
        <is>
          <t>Session Timeout</t>
        </is>
      </c>
      <c r="C12" s="34" t="inlineStr">
        <is>
          <t>V7.3.1</t>
        </is>
      </c>
      <c r="D12" s="34" t="inlineStr">
        <is>
          <t>Verify that there is an inactivity timeout such that re-authentication is enforced according to risk analysis and documented security decisions.</t>
        </is>
      </c>
      <c r="E12" s="35" t="n">
        <v>2</v>
      </c>
      <c r="F12" s="36" t="inlineStr">
        <is>
          <t>Compliant</t>
        </is>
      </c>
      <c r="G12" s="34" t="inlineStr">
        <is>
          <t>Automatically marked compliant from passing evidence: account status validation; administrator MFA; failed-login lockout behaviour.</t>
        </is>
      </c>
      <c r="H12" s="34" t="inlineStr">
        <is>
          <t>SR-05; SR-01; SR-07; AuthServiceTest; AuthControllerIntegrationTest; SystemFunctionalTests; MFA/TOTP code and tests detected</t>
        </is>
      </c>
      <c r="I12" s="30" t="inlineStr">
        <is>
          <t>Automatically inferred as implemented or justified from passing tests, source code, configuration, or build artifacts.</t>
        </is>
      </c>
      <c r="J12" s="30" t="inlineStr">
        <is>
          <t>Automated repository evidence</t>
        </is>
      </c>
      <c r="K12" s="30" t="inlineStr">
        <is>
          <t>AuthServiceTest; AuthControllerIntegrationTest; SystemFunctionalTests; MFA/TOTP code and tests detected</t>
        </is>
      </c>
      <c r="L12" s="30" t="inlineStr">
        <is>
          <t>account status validation; administrator MFA; failed-login lockout behaviour</t>
        </is>
      </c>
      <c r="M12" s="30" t="inlineStr">
        <is>
          <t>Keep make asvs-tracker passing; reassess if code, tests, or scope changes.</t>
        </is>
      </c>
    </row>
    <row r="13" ht="30" customHeight="1" s="26">
      <c r="A13" s="37" t="inlineStr">
        <is>
          <t>V7.3</t>
        </is>
      </c>
      <c r="B13" s="37" t="inlineStr">
        <is>
          <t>Session Timeout</t>
        </is>
      </c>
      <c r="C13" s="37" t="inlineStr">
        <is>
          <t>V7.3.2</t>
        </is>
      </c>
      <c r="D13" s="37" t="inlineStr">
        <is>
          <t>Verify that there is an absolute maximum session lifetime such that re-authentication is enforced according to risk analysis and documented security decisions.</t>
        </is>
      </c>
      <c r="E13" s="35" t="n">
        <v>2</v>
      </c>
      <c r="F13" s="36" t="inlineStr">
        <is>
          <t>Compliant</t>
        </is>
      </c>
      <c r="G13" s="37" t="inlineStr">
        <is>
          <t>Automatically marked compliant from passing evidence: account status validation; administrator MFA; failed-login lockout behaviour.</t>
        </is>
      </c>
      <c r="H13" s="37" t="inlineStr">
        <is>
          <t>SR-05; SR-01; SR-07; AuthServiceTest; AuthControllerIntegrationTest; SystemFunctionalTests; MFA/TOTP code and tests detected</t>
        </is>
      </c>
      <c r="I13" s="30" t="inlineStr">
        <is>
          <t>Automatically inferred as implemented or justified from passing tests, source code, configuration, or build artifacts.</t>
        </is>
      </c>
      <c r="J13" s="30" t="inlineStr">
        <is>
          <t>Automated repository evidence</t>
        </is>
      </c>
      <c r="K13" s="30" t="inlineStr">
        <is>
          <t>AuthServiceTest; AuthControllerIntegrationTest; SystemFunctionalTests; MFA/TOTP code and tests detected</t>
        </is>
      </c>
      <c r="L13" s="30" t="inlineStr">
        <is>
          <t>account status validation; administrator MFA; failed-login lockout behaviour</t>
        </is>
      </c>
      <c r="M13" s="30" t="inlineStr">
        <is>
          <t>Keep make asvs-tracker passing; reassess if code, tests, or scope changes.</t>
        </is>
      </c>
    </row>
    <row r="14" ht="18" customHeight="1" s="26">
      <c r="A14" s="33" t="inlineStr">
        <is>
          <t>V7.4</t>
        </is>
      </c>
      <c r="B14" s="33" t="inlineStr">
        <is>
          <t>Session Termination</t>
        </is>
      </c>
      <c r="C14" s="33" t="n"/>
      <c r="D14" s="33" t="n"/>
      <c r="E14" s="33" t="n"/>
      <c r="F14" s="33" t="n"/>
      <c r="G14" s="33" t="n"/>
      <c r="H14" s="33" t="n"/>
      <c r="I14" s="30" t="n"/>
      <c r="J14" s="30" t="n"/>
      <c r="K14" s="30" t="n"/>
      <c r="L14" s="30" t="n"/>
      <c r="M14" s="30" t="n"/>
    </row>
    <row r="15" ht="30" customHeight="1" s="26">
      <c r="A15" s="34" t="inlineStr">
        <is>
          <t>V7.4</t>
        </is>
      </c>
      <c r="B15" s="34" t="inlineStr">
        <is>
          <t>Session Termination</t>
        </is>
      </c>
      <c r="C15" s="34" t="inlineStr">
        <is>
          <t>V7.4.1</t>
        </is>
      </c>
      <c r="D15" s="34"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38" t="n">
        <v>1</v>
      </c>
      <c r="F15" s="36" t="inlineStr">
        <is>
          <t>Compliant</t>
        </is>
      </c>
      <c r="G15" s="34" t="inlineStr">
        <is>
          <t>Automatically marked compliant from passing evidence: account status validation; JWT signature and algorithm validation; JWT key strength and server-side signing; authentication audit logging; sensitive log data checks; safe error response checks.</t>
        </is>
      </c>
      <c r="H15" s="34" t="inlineStr">
        <is>
          <t>SR-05; SR-03; SR-04; SR-37; SR-45; SR-46; AuthServiceTest; AuthControllerIntegrationTest; AbuseCaseRegressionTest; JwtServiceTest; JwtAuthenticationFilterTest; AuditLoggerTest; GlobalExceptionHandlerTest; ControllerIntegrationTests; JWT service and signing/filter code detected; audit logging implementation detected; centralized safe error handling detected</t>
        </is>
      </c>
      <c r="I15" s="30" t="inlineStr">
        <is>
          <t>Automatically inferred as implemented or justified from passing tests, source code, configuration, or build artifacts.</t>
        </is>
      </c>
      <c r="J15" s="30" t="inlineStr">
        <is>
          <t>Automated repository evidence</t>
        </is>
      </c>
      <c r="K15" s="30" t="inlineStr">
        <is>
          <t>AuthServiceTest; AuthControllerIntegrationTest; AbuseCaseRegressionTest; JwtServiceTest; JwtAuthenticationFilterTest; AuditLoggerTest; GlobalExceptionHandlerTest; ControllerIntegrationTests; JWT service and signing/filter code detected; audit logging implementation detected; centralized safe error handling detected</t>
        </is>
      </c>
      <c r="L15" s="30" t="inlineStr">
        <is>
          <t>account status validation; JWT signature and algorithm validation; JWT key strength and server-side signing; authentication audit logging; sensitive log data checks; safe error response checks</t>
        </is>
      </c>
      <c r="M15" s="30" t="inlineStr">
        <is>
          <t>Keep make asvs-tracker passing; reassess if code, tests, or scope changes.</t>
        </is>
      </c>
    </row>
    <row r="16" ht="30" customHeight="1" s="26">
      <c r="A16" s="37" t="inlineStr">
        <is>
          <t>V7.4</t>
        </is>
      </c>
      <c r="B16" s="37" t="inlineStr">
        <is>
          <t>Session Termination</t>
        </is>
      </c>
      <c r="C16" s="37" t="inlineStr">
        <is>
          <t>V7.4.2</t>
        </is>
      </c>
      <c r="D16" s="37" t="inlineStr">
        <is>
          <t>Verify that the application terminates all active sessions when a user account is disabled or deleted (such as an employee leaving the company).</t>
        </is>
      </c>
      <c r="E16" s="38" t="n">
        <v>1</v>
      </c>
      <c r="F16" s="36" t="inlineStr">
        <is>
          <t>Compliant</t>
        </is>
      </c>
      <c r="G16" s="37" t="inlineStr">
        <is>
          <t>Automatically marked compliant from passing evidence: account status validation.</t>
        </is>
      </c>
      <c r="H16" s="37" t="inlineStr">
        <is>
          <t>SR-05; AuthServiceTest; AuthControllerIntegrationTest</t>
        </is>
      </c>
      <c r="I16" s="30" t="inlineStr">
        <is>
          <t>Automatically inferred as implemented or justified from passing tests, source code, configuration, or build artifacts.</t>
        </is>
      </c>
      <c r="J16" s="30" t="inlineStr">
        <is>
          <t>Automated repository evidence</t>
        </is>
      </c>
      <c r="K16" s="30" t="inlineStr">
        <is>
          <t>AuthServiceTest; AuthControllerIntegrationTest</t>
        </is>
      </c>
      <c r="L16" s="30" t="inlineStr">
        <is>
          <t>account status validation</t>
        </is>
      </c>
      <c r="M16" s="30" t="inlineStr">
        <is>
          <t>Keep make asvs-tracker passing; reassess if code, tests, or scope changes.</t>
        </is>
      </c>
    </row>
    <row r="17" ht="30" customHeight="1" s="26">
      <c r="A17" s="34" t="inlineStr">
        <is>
          <t>V7.4</t>
        </is>
      </c>
      <c r="B17" s="34" t="inlineStr">
        <is>
          <t>Session Termination</t>
        </is>
      </c>
      <c r="C17" s="34" t="inlineStr">
        <is>
          <t>V7.4.3</t>
        </is>
      </c>
      <c r="D17" s="34" t="inlineStr">
        <is>
          <t>Verify that the application gives the option to terminate all other active sessions after a successful change or removal of any authentication factor (including password change via reset or recovery and, if present, an MFA settings update).</t>
        </is>
      </c>
      <c r="E17" s="35" t="n">
        <v>2</v>
      </c>
      <c r="F17" s="36" t="inlineStr">
        <is>
          <t>Compliant</t>
        </is>
      </c>
      <c r="G17" s="34" t="inlineStr">
        <is>
          <t>Automatically marked compliant from passing evidence: role-change audit logging; administrator MFA; account status validation; failed-login lockout behaviour.</t>
        </is>
      </c>
      <c r="H17" s="34" t="inlineStr">
        <is>
          <t>SR-39; SR-01; SR-05; SR-07; AuditLoggerTest; RbacIntegrationTest; AuthServiceTest; AuthControllerIntegrationTest; SystemFunctionalTests; MFA/TOTP code and tests detected; audit logging implementation detected</t>
        </is>
      </c>
      <c r="I17" s="30" t="inlineStr">
        <is>
          <t>Automatically inferred as implemented or justified from passing tests, source code, configuration, or build artifacts.</t>
        </is>
      </c>
      <c r="J17" s="30" t="inlineStr">
        <is>
          <t>Automated repository evidence</t>
        </is>
      </c>
      <c r="K17" s="30" t="inlineStr">
        <is>
          <t>AuditLoggerTest; RbacIntegrationTest; AuthServiceTest; AuthControllerIntegrationTest; SystemFunctionalTests; MFA/TOTP code and tests detected; audit logging implementation detected</t>
        </is>
      </c>
      <c r="L17" s="30" t="inlineStr">
        <is>
          <t>role-change audit logging; administrator MFA; account status validation; failed-login lockout behaviour</t>
        </is>
      </c>
      <c r="M17" s="30" t="inlineStr">
        <is>
          <t>Keep make asvs-tracker passing; reassess if code, tests, or scope changes.</t>
        </is>
      </c>
    </row>
    <row r="18" ht="30" customHeight="1" s="26">
      <c r="A18" s="37" t="inlineStr">
        <is>
          <t>V7.4</t>
        </is>
      </c>
      <c r="B18" s="37" t="inlineStr">
        <is>
          <t>Session Termination</t>
        </is>
      </c>
      <c r="C18" s="37" t="inlineStr">
        <is>
          <t>V7.4.4</t>
        </is>
      </c>
      <c r="D18" s="37" t="inlineStr">
        <is>
          <t>Verify that all pages that require authentication have easy and visible access to logout functionality.</t>
        </is>
      </c>
      <c r="E18" s="35" t="n">
        <v>2</v>
      </c>
      <c r="F18" s="36" t="inlineStr">
        <is>
          <t>Compliant</t>
        </is>
      </c>
      <c r="G18" s="37" t="inlineStr">
        <is>
          <t>Automatically marked compliant from passing evidence: administrator MFA; account status validation; failed-login lockout behaviour; authentication audit logging; sensitive log data checks; safe error response checks.</t>
        </is>
      </c>
      <c r="H18" s="37" t="inlineStr">
        <is>
          <t>SR-01; SR-05; SR-07; SR-37; SR-45; SR-46; AuthServiceTest; AuthControllerIntegrationTest; SystemFunctionalTests; AuditLoggerTest; GlobalExceptionHandlerTest; ControllerIntegrationTests; MFA/TOTP code and tests detected; audit logging implementation detected; centralized safe error handling detected</t>
        </is>
      </c>
      <c r="I18" s="30" t="inlineStr">
        <is>
          <t>Automatically inferred as implemented or justified from passing tests, source code, configuration, or build artifacts.</t>
        </is>
      </c>
      <c r="J18" s="30" t="inlineStr">
        <is>
          <t>Automated repository evidence</t>
        </is>
      </c>
      <c r="K18" s="30" t="inlineStr">
        <is>
          <t>AuthServiceTest; AuthControllerIntegrationTest; SystemFunctionalTests; AuditLoggerTest; GlobalExceptionHandlerTest; ControllerIntegrationTests; MFA/TOTP code and tests detected; audit logging implementation detected; centralized safe error handling detected</t>
        </is>
      </c>
      <c r="L18" s="30" t="inlineStr">
        <is>
          <t>administrator MFA; account status validation; failed-login lockout behaviour; authentication audit logging; sensitive log data checks; safe error response checks</t>
        </is>
      </c>
      <c r="M18" s="30" t="inlineStr">
        <is>
          <t>Keep make asvs-tracker passing; reassess if code, tests, or scope changes.</t>
        </is>
      </c>
    </row>
    <row r="19" ht="30" customHeight="1" s="26">
      <c r="A19" s="34" t="inlineStr">
        <is>
          <t>V7.4</t>
        </is>
      </c>
      <c r="B19" s="34" t="inlineStr">
        <is>
          <t>Session Termination</t>
        </is>
      </c>
      <c r="C19" s="34" t="inlineStr">
        <is>
          <t>V7.4.5</t>
        </is>
      </c>
      <c r="D19" s="34" t="inlineStr">
        <is>
          <t>Verify that application administrators are able to terminate active sessions for an individual user or for all users.</t>
        </is>
      </c>
      <c r="E19" s="35" t="n">
        <v>2</v>
      </c>
      <c r="F19" s="36" t="inlineStr">
        <is>
          <t>Compliant</t>
        </is>
      </c>
      <c r="G19" s="34" t="inlineStr">
        <is>
          <t>Automatically marked compliant from passing evidence: role-change audit logging.</t>
        </is>
      </c>
      <c r="H19" s="34" t="inlineStr">
        <is>
          <t>SR-39; AuditLoggerTest; RbacIntegrationTest; audit logging implementation detected</t>
        </is>
      </c>
      <c r="I19" s="30" t="inlineStr">
        <is>
          <t>Automatically inferred as implemented or justified from passing tests, source code, configuration, or build artifacts.</t>
        </is>
      </c>
      <c r="J19" s="30" t="inlineStr">
        <is>
          <t>Automated repository evidence</t>
        </is>
      </c>
      <c r="K19" s="30" t="inlineStr">
        <is>
          <t>AuditLoggerTest; RbacIntegrationTest; audit logging implementation detected</t>
        </is>
      </c>
      <c r="L19" s="30" t="inlineStr">
        <is>
          <t>role-change audit logging</t>
        </is>
      </c>
      <c r="M19" s="30" t="inlineStr">
        <is>
          <t>Keep make asvs-tracker passing; reassess if code, tests, or scope changes.</t>
        </is>
      </c>
    </row>
    <row r="20" ht="18" customHeight="1" s="26">
      <c r="A20" s="33" t="inlineStr">
        <is>
          <t>V7.5</t>
        </is>
      </c>
      <c r="B20" s="33" t="inlineStr">
        <is>
          <t>Defenses Against Session Abuse</t>
        </is>
      </c>
      <c r="C20" s="33" t="n"/>
      <c r="D20" s="33" t="n"/>
      <c r="E20" s="33" t="n"/>
      <c r="F20" s="33" t="n"/>
      <c r="G20" s="33" t="n"/>
      <c r="H20" s="33" t="n"/>
      <c r="I20" s="30" t="n"/>
      <c r="J20" s="30" t="n"/>
      <c r="K20" s="30" t="n"/>
      <c r="L20" s="30" t="n"/>
      <c r="M20" s="30" t="n"/>
    </row>
    <row r="21" ht="30" customHeight="1" s="26">
      <c r="A21" s="34" t="inlineStr">
        <is>
          <t>V7.5</t>
        </is>
      </c>
      <c r="B21" s="34" t="inlineStr">
        <is>
          <t>Defenses Against Session Abuse</t>
        </is>
      </c>
      <c r="C21" s="34" t="inlineStr">
        <is>
          <t>V7.5.1</t>
        </is>
      </c>
      <c r="D21" s="34"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35" t="n">
        <v>2</v>
      </c>
      <c r="F21" s="36" t="inlineStr">
        <is>
          <t>Compliant</t>
        </is>
      </c>
      <c r="G21" s="34" t="inlineStr">
        <is>
          <t>Automatically marked compliant from passing evidence: account status validation; administrator MFA; failed-login lockout behaviour; secrets externalized through configuration; pinned dependency rules.</t>
        </is>
      </c>
      <c r="H21" s="34" t="inlineStr">
        <is>
          <t>SR-05; SR-01; SR-07; SR-11; SR-34; AuthServiceTest; AuthControllerIntegrationTest; SystemFunctionalTests; GitHub Actions secret scan; application-prod.properties; Maven Enforcer; pom.xml; MFA/TOTP code and tests detected; SCA/SBOM/enforcer configuration detected; CI secret/security scanning configuration detected</t>
        </is>
      </c>
      <c r="I21" s="30" t="inlineStr">
        <is>
          <t>Automatically inferred as implemented or justified from passing tests, source code, configuration, or build artifacts.</t>
        </is>
      </c>
      <c r="J21" s="30" t="inlineStr">
        <is>
          <t>Automated repository evidence</t>
        </is>
      </c>
      <c r="K21" s="30" t="inlineStr">
        <is>
          <t>AuthServiceTest; AuthControllerIntegrationTest; SystemFunctionalTests; GitHub Actions secret scan; application-prod.properties; Maven Enforcer; pom.xml; MFA/TOTP code and tests detected; SCA/SBOM/enforcer configuration detected; CI secret/security scanning configuration detected</t>
        </is>
      </c>
      <c r="L21" s="30" t="inlineStr">
        <is>
          <t>account status validation; administrator MFA; failed-login lockout behaviour; secrets externalized through configuration; pinned dependency rules</t>
        </is>
      </c>
      <c r="M21" s="30" t="inlineStr">
        <is>
          <t>Keep make asvs-tracker passing; reassess if code, tests, or scope changes.</t>
        </is>
      </c>
    </row>
    <row r="22" ht="30" customHeight="1" s="26">
      <c r="A22" s="37" t="inlineStr">
        <is>
          <t>V7.5</t>
        </is>
      </c>
      <c r="B22" s="37" t="inlineStr">
        <is>
          <t>Defenses Against Session Abuse</t>
        </is>
      </c>
      <c r="C22" s="37" t="inlineStr">
        <is>
          <t>V7.5.2</t>
        </is>
      </c>
      <c r="D22" s="37" t="inlineStr">
        <is>
          <t>Verify that users are able to view and (having authenticated again with at least one factor) terminate any or all currently active sessions.</t>
        </is>
      </c>
      <c r="E22" s="35" t="n">
        <v>2</v>
      </c>
      <c r="F22" s="36" t="inlineStr">
        <is>
          <t>Compliant</t>
        </is>
      </c>
      <c r="G22" s="37" t="inlineStr">
        <is>
          <t>Automatically marked compliant from passing evidence: account status validation.</t>
        </is>
      </c>
      <c r="H22" s="37" t="inlineStr">
        <is>
          <t>SR-05; AuthServiceTest; AuthControllerIntegrationTest</t>
        </is>
      </c>
      <c r="I22" s="30" t="inlineStr">
        <is>
          <t>Automatically inferred as implemented or justified from passing tests, source code, configuration, or build artifacts.</t>
        </is>
      </c>
      <c r="J22" s="30" t="inlineStr">
        <is>
          <t>Automated repository evidence</t>
        </is>
      </c>
      <c r="K22" s="30" t="inlineStr">
        <is>
          <t>AuthServiceTest; AuthControllerIntegrationTest</t>
        </is>
      </c>
      <c r="L22" s="30" t="inlineStr">
        <is>
          <t>account status validation</t>
        </is>
      </c>
      <c r="M22" s="30" t="inlineStr">
        <is>
          <t>Keep make asvs-tracker passing; reassess if code, tests, or scope changes.</t>
        </is>
      </c>
    </row>
    <row r="23" ht="30" customHeight="1" s="26">
      <c r="A23" s="34" t="inlineStr">
        <is>
          <t>V7.5</t>
        </is>
      </c>
      <c r="B23" s="34" t="inlineStr">
        <is>
          <t>Defenses Against Session Abuse</t>
        </is>
      </c>
      <c r="C23" s="34" t="inlineStr">
        <is>
          <t>V7.5.3</t>
        </is>
      </c>
      <c r="D23" s="34" t="inlineStr">
        <is>
          <t>Verify that the application requires further authentication with at least one factor or secondary verification before performing highly sensitive transactions or operations.</t>
        </is>
      </c>
      <c r="E23" s="40" t="n">
        <v>3</v>
      </c>
      <c r="F23" s="36" t="inlineStr">
        <is>
          <t>Compliant</t>
        </is>
      </c>
      <c r="G23" s="34" t="inlineStr">
        <is>
          <t>Automatically marked compliant from passing evidence: account status validation; administrator MFA; failed-login lockout behaviour; transaction and stock consistency; server-side price enforcement; stock limit validation; client-supplied price abuse-case regression; TOCTOU/stock race abuse-case regression.</t>
        </is>
      </c>
      <c r="H23" s="34" t="inlineStr">
        <is>
          <t>SR-05; SR-01; SR-07; SR-15; SR-24; SR-25; AC-03; AC-07; AuthServiceTest; AuthControllerIntegrationTest; SystemFunctionalTests; SaleServiceTest; SlotServiceTest; AbuseCaseRegressionTest; MFA/TOTP code and tests detected</t>
        </is>
      </c>
      <c r="I23" s="30" t="inlineStr">
        <is>
          <t>Automatically inferred as implemented or justified from passing tests, source code, configuration, or build artifacts.</t>
        </is>
      </c>
      <c r="J23" s="30" t="inlineStr">
        <is>
          <t>Automated repository evidence</t>
        </is>
      </c>
      <c r="K23" s="30" t="inlineStr">
        <is>
          <t>AuthServiceTest; AuthControllerIntegrationTest; SystemFunctionalTests; SaleServiceTest; SlotServiceTest; AbuseCaseRegressionTest; MFA/TOTP code and tests detected</t>
        </is>
      </c>
      <c r="L23" s="30" t="inlineStr">
        <is>
          <t>account status validation; administrator MFA; failed-login lockout behaviour; transaction and stock consistency; server-side price enforcement; stock limit validation; client-supplied price abuse-case regression; TOCTOU/stock race abuse-case regression</t>
        </is>
      </c>
      <c r="M23" s="30" t="inlineStr">
        <is>
          <t>Keep make asvs-tracker passing; reassess if code, tests, or scope changes.</t>
        </is>
      </c>
    </row>
    <row r="24" ht="18" customHeight="1" s="26">
      <c r="A24" s="33" t="inlineStr">
        <is>
          <t>V7.6</t>
        </is>
      </c>
      <c r="B24" s="33" t="inlineStr">
        <is>
          <t>Federated Re-authentication</t>
        </is>
      </c>
      <c r="C24" s="33" t="n"/>
      <c r="D24" s="33" t="n"/>
      <c r="E24" s="33" t="n"/>
      <c r="F24" s="33" t="n"/>
      <c r="G24" s="33" t="n"/>
      <c r="H24" s="33" t="n"/>
      <c r="I24" s="30" t="n"/>
      <c r="J24" s="30" t="n"/>
      <c r="K24" s="30" t="n"/>
      <c r="L24" s="30" t="n"/>
      <c r="M24" s="30" t="n"/>
    </row>
    <row r="25" ht="30" customHeight="1" s="26">
      <c r="A25" s="34" t="inlineStr">
        <is>
          <t>V7.6</t>
        </is>
      </c>
      <c r="B25" s="34" t="inlineStr">
        <is>
          <t>Federated Re-authentication</t>
        </is>
      </c>
      <c r="C25" s="34" t="inlineStr">
        <is>
          <t>V7.6.1</t>
        </is>
      </c>
      <c r="D25" s="34" t="inlineStr">
        <is>
          <t>Verify that session lifetime and termination between Relying Parties (RPs) and Identity Providers (IdPs) behave as documented, requiring re-authentication as necessary such as when the maximum time between IdP authentication events is reached.</t>
        </is>
      </c>
      <c r="E25" s="35" t="n">
        <v>2</v>
      </c>
      <c r="F25" s="36" t="inlineStr">
        <is>
          <t>Compliant</t>
        </is>
      </c>
      <c r="G25" s="34" t="inlineStr">
        <is>
          <t>Automatically marked compliant from passing evidence: administrator MFA; account status validation; failed-login lockout behaviour.</t>
        </is>
      </c>
      <c r="H25" s="34" t="inlineStr">
        <is>
          <t>SR-01; SR-05; SR-07; AuthServiceTest; AuthControllerIntegrationTest; SystemFunctionalTests; MFA/TOTP code and tests detected</t>
        </is>
      </c>
      <c r="I25" s="30" t="inlineStr">
        <is>
          <t>Automatically inferred as implemented or justified from passing tests, source code, configuration, or build artifacts.</t>
        </is>
      </c>
      <c r="J25" s="30" t="inlineStr">
        <is>
          <t>Automated repository evidence</t>
        </is>
      </c>
      <c r="K25" s="30" t="inlineStr">
        <is>
          <t>AuthServiceTest; AuthControllerIntegrationTest; SystemFunctionalTests; MFA/TOTP code and tests detected</t>
        </is>
      </c>
      <c r="L25" s="30" t="inlineStr">
        <is>
          <t>administrator MFA; account status validation; failed-login lockout behaviour</t>
        </is>
      </c>
      <c r="M25" s="30" t="inlineStr">
        <is>
          <t>Keep make asvs-tracker passing; reassess if code, tests, or scope changes.</t>
        </is>
      </c>
    </row>
    <row r="26" ht="30" customHeight="1" s="26">
      <c r="A26" s="37" t="inlineStr">
        <is>
          <t>V7.6</t>
        </is>
      </c>
      <c r="B26" s="37" t="inlineStr">
        <is>
          <t>Federated Re-authentication</t>
        </is>
      </c>
      <c r="C26" s="37" t="inlineStr">
        <is>
          <t>V7.6.2</t>
        </is>
      </c>
      <c r="D26" s="37" t="inlineStr">
        <is>
          <t>Verify that creation of a session requires either the user's consent or an explicit action, preventing the creation of new application sessions without user interaction.</t>
        </is>
      </c>
      <c r="E26" s="35" t="n">
        <v>2</v>
      </c>
      <c r="F26" s="36" t="inlineStr">
        <is>
          <t>Compliant</t>
        </is>
      </c>
      <c r="G26" s="37" t="inlineStr">
        <is>
          <t>Automatically marked compliant from passing evidence: JWT signature and algorithm validation.</t>
        </is>
      </c>
      <c r="H26" s="37" t="inlineStr">
        <is>
          <t>SR-03; AbuseCaseRegressionTest; JwtServiceTest; JwtAuthenticationFilterTest; JWT service and signing/filter code detected</t>
        </is>
      </c>
      <c r="I26" s="30" t="inlineStr">
        <is>
          <t>Automatically inferred as implemented or justified from passing tests, source code, configuration, or build artifacts.</t>
        </is>
      </c>
      <c r="J26" s="30" t="inlineStr">
        <is>
          <t>Automated repository evidence</t>
        </is>
      </c>
      <c r="K26" s="30" t="inlineStr">
        <is>
          <t>AbuseCaseRegressionTest; JwtServiceTest; JwtAuthenticationFilterTest; JWT service and signing/filter code detected</t>
        </is>
      </c>
      <c r="L26" s="30" t="inlineStr">
        <is>
          <t>JWT signature and algorithm validation</t>
        </is>
      </c>
      <c r="M26" s="30" t="inlineStr">
        <is>
          <t>Keep make asvs-tracker passing; reassess if code, tests, or scope changes.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0.xml><?xml version="1.0" encoding="utf-8"?>
<worksheet xmlns="http://schemas.openxmlformats.org/spreadsheetml/2006/main">
  <sheetPr>
    <outlinePr summaryBelow="1" summaryRight="1"/>
    <pageSetUpPr/>
  </sheetPr>
  <dimension ref="A1:M18"/>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V8.1</t>
        </is>
      </c>
      <c r="B2" s="33" t="inlineStr">
        <is>
          <t>Authorization Documentation</t>
        </is>
      </c>
      <c r="C2" s="33" t="n"/>
      <c r="D2" s="33" t="n"/>
      <c r="E2" s="33" t="n"/>
      <c r="F2" s="33" t="n"/>
      <c r="G2" s="33" t="n"/>
      <c r="H2" s="33" t="n"/>
      <c r="I2" s="30" t="n"/>
      <c r="J2" s="30" t="n"/>
      <c r="K2" s="30" t="n"/>
      <c r="L2" s="30" t="n"/>
      <c r="M2" s="30" t="n"/>
    </row>
    <row r="3" ht="30" customHeight="1" s="26">
      <c r="A3" s="34" t="inlineStr">
        <is>
          <t>V8.1</t>
        </is>
      </c>
      <c r="B3" s="34" t="inlineStr">
        <is>
          <t>Authorization Documentation</t>
        </is>
      </c>
      <c r="C3" s="34" t="inlineStr">
        <is>
          <t>V8.1.1</t>
        </is>
      </c>
      <c r="D3" s="34" t="inlineStr">
        <is>
          <t>Verify that authorization documentation defines rules for restricting function-level and data-specific access based on consumer permissions and resource attributes.</t>
        </is>
      </c>
      <c r="E3" s="38" t="n">
        <v>1</v>
      </c>
      <c r="F3" s="36" t="inlineStr">
        <is>
          <t>Compliant</t>
        </is>
      </c>
      <c r="G3" s="34" t="inlineStr">
        <is>
          <t>Automatically marked compliant from passing evidence: RBAC roles and endpoint isolation; controller/service authorization guardrails; user data access isolation.</t>
        </is>
      </c>
      <c r="H3" s="34" t="inlineStr">
        <is>
          <t>SR-02; SR-06; SR-08; RbacIntegrationTest; SecurityAnnotationArchTest; SystemFunctionalTests; Spring method security and RBAC annotations detected</t>
        </is>
      </c>
      <c r="I3" s="30" t="inlineStr">
        <is>
          <t>Automatically inferred as implemented or justified from passing tests, source code, configuration, or build artifacts.</t>
        </is>
      </c>
      <c r="J3" s="30" t="inlineStr">
        <is>
          <t>Automated repository evidence</t>
        </is>
      </c>
      <c r="K3" s="30" t="inlineStr">
        <is>
          <t>RbacIntegrationTest; SecurityAnnotationArchTest; SystemFunctionalTests; Spring method security and RBAC annotations detected</t>
        </is>
      </c>
      <c r="L3" s="30" t="inlineStr">
        <is>
          <t>RBAC roles and endpoint isolation; controller/service authorization guardrails; user data access isolation</t>
        </is>
      </c>
      <c r="M3" s="30" t="inlineStr">
        <is>
          <t>Keep make asvs-tracker passing; reassess if code, tests, or scope changes.</t>
        </is>
      </c>
    </row>
    <row r="4" ht="30" customHeight="1" s="26">
      <c r="A4" s="37" t="inlineStr">
        <is>
          <t>V8.1</t>
        </is>
      </c>
      <c r="B4" s="37" t="inlineStr">
        <is>
          <t>Authorization Documentation</t>
        </is>
      </c>
      <c r="C4" s="37" t="inlineStr">
        <is>
          <t>V8.1.2</t>
        </is>
      </c>
      <c r="D4" s="37"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35" t="n">
        <v>2</v>
      </c>
      <c r="F4" s="36" t="inlineStr">
        <is>
          <t>Compliant</t>
        </is>
      </c>
      <c r="G4" s="37" t="inlineStr">
        <is>
          <t>Automatically marked compliant from passing evidence: DTO response boundaries and unknown-field rejection; RBAC roles and endpoint isolation; controller/service authorization guardrails; user data access isolation.</t>
        </is>
      </c>
      <c r="H4" s="37" t="inlineStr">
        <is>
          <t>SR-16; SR-02; SR-06; SR-08; ControllerUnitTests; GlobalExceptionHandlerTest; RbacIntegrationTest; SecurityAnnotationArchTest; SystemFunctionalTests; Spring method security and RBAC annotations detected</t>
        </is>
      </c>
      <c r="I4" s="30" t="inlineStr">
        <is>
          <t>Automatically inferred as implemented or justified from passing tests, source code, configuration, or build artifacts.</t>
        </is>
      </c>
      <c r="J4" s="30" t="inlineStr">
        <is>
          <t>Automated repository evidence</t>
        </is>
      </c>
      <c r="K4" s="30" t="inlineStr">
        <is>
          <t>ControllerUnitTests; GlobalExceptionHandlerTest; RbacIntegrationTest; SecurityAnnotationArchTest; SystemFunctionalTests; Spring method security and RBAC annotations detected</t>
        </is>
      </c>
      <c r="L4" s="30" t="inlineStr">
        <is>
          <t>DTO response boundaries and unknown-field rejection; RBAC roles and endpoint isolation; controller/service authorization guardrails; user data access isolation</t>
        </is>
      </c>
      <c r="M4" s="30" t="inlineStr">
        <is>
          <t>Keep make asvs-tracker passing; reassess if code, tests, or scope changes.</t>
        </is>
      </c>
    </row>
    <row r="5" ht="30" customHeight="1" s="26">
      <c r="A5" s="34" t="inlineStr">
        <is>
          <t>V8.1</t>
        </is>
      </c>
      <c r="B5" s="34" t="inlineStr">
        <is>
          <t>Authorization Documentation</t>
        </is>
      </c>
      <c r="C5" s="34" t="inlineStr">
        <is>
          <t>V8.1.3</t>
        </is>
      </c>
      <c r="D5" s="34"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40" t="n">
        <v>3</v>
      </c>
      <c r="F5" s="36" t="inlineStr">
        <is>
          <t>Compliant</t>
        </is>
      </c>
      <c r="G5" s="34" t="inlineStr">
        <is>
          <t>Automatically marked compliant from passing evidence: authentication audit logging; administrator MFA; account status validation; failed-login lockout behaviour; RBAC roles and endpoint isolation; controller/service authorization guardrails; user data access isolation; secrets externalized through configuration; pinned dependency rules.</t>
        </is>
      </c>
      <c r="H5" s="34" t="inlineStr">
        <is>
          <t>SR-37; SR-44; SR-01; SR-05; SR-07; SR-02; SR-06; SR-08; SR-11; SR-34; AuthServiceTest; AuditLoggerTest; AuthControllerIntegrationTest; SystemFunctionalTests; RbacIntegrationTest; SecurityAnnotationArchTest; GitHub Actions secret scan; application-prod.properties; Maven Enforcer; pom.xml; MFA/TOTP code and tests detected; Spring method security and RBAC annotations detected; audit logging implementation detected; SCA/SBOM/enforcer configuration detected; CI secret/security scanning configuration detected</t>
        </is>
      </c>
      <c r="I5" s="30" t="inlineStr">
        <is>
          <t>Automatically inferred as implemented or justified from passing tests, source code, configuration, or build artifacts.</t>
        </is>
      </c>
      <c r="J5" s="30" t="inlineStr">
        <is>
          <t>Automated repository evidence</t>
        </is>
      </c>
      <c r="K5" s="30" t="inlineStr">
        <is>
          <t>AuthServiceTest; AuditLoggerTest; AuthControllerIntegrationTest; SystemFunctionalTests; RbacIntegrationTest; SecurityAnnotationArchTest; GitHub Actions secret scan; application-prod.properties; Maven Enforcer; pom.xml; MFA/TOTP code and tests detected; Spring method security and RBAC annotations detected; audit logging implementation detected; SCA/SBOM/enforcer configuration detected; CI secret/security scanning configuration detected</t>
        </is>
      </c>
      <c r="L5" s="30" t="inlineStr">
        <is>
          <t>authentication audit logging; administrator MFA; account status validation; failed-login lockout behaviour; RBAC roles and endpoint isolation; controller/service authorization guardrails; user data access isolation; secrets externalized through configuration; pinned dependency rules</t>
        </is>
      </c>
      <c r="M5" s="30" t="inlineStr">
        <is>
          <t>Keep make asvs-tracker passing; reassess if code, tests, or scope changes.</t>
        </is>
      </c>
    </row>
    <row r="6" ht="30" customHeight="1" s="26">
      <c r="A6" s="37" t="inlineStr">
        <is>
          <t>V8.1</t>
        </is>
      </c>
      <c r="B6" s="37" t="inlineStr">
        <is>
          <t>Authorization Documentation</t>
        </is>
      </c>
      <c r="C6" s="37" t="inlineStr">
        <is>
          <t>V8.1.4</t>
        </is>
      </c>
      <c r="D6" s="37"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40" t="n">
        <v>3</v>
      </c>
      <c r="F6" s="36" t="inlineStr">
        <is>
          <t>Compliant</t>
        </is>
      </c>
      <c r="G6" s="37" t="inlineStr">
        <is>
          <t>Automatically marked compliant from passing evidence: administrator MFA; account status validation; failed-login lockout behaviour; RBAC roles and endpoint isolation; controller/service authorization guardrails; user data access isolation; secrets externalized through configuration; pinned dependency rules.</t>
        </is>
      </c>
      <c r="H6" s="37" t="inlineStr">
        <is>
          <t>SR-44; SR-01; SR-05; SR-07; SR-02; SR-06; SR-08; SR-11; SR-34; AuthServiceTest; AuthControllerIntegrationTest; SystemFunctionalTests; RbacIntegrationTest; SecurityAnnotationArchTest; GitHub Actions secret scan; application-prod.properties; Maven Enforcer; pom.xml; MFA/TOTP code and tests detected; Spring method security and RBAC annotations detected; SCA/SBOM/enforcer configuration detected; CI secret/security scanning configuration detected</t>
        </is>
      </c>
      <c r="I6" s="30" t="inlineStr">
        <is>
          <t>Automatically inferred as implemented or justified from passing tests, source code, configuration, or build artifacts.</t>
        </is>
      </c>
      <c r="J6" s="30" t="inlineStr">
        <is>
          <t>Automated repository evidence</t>
        </is>
      </c>
      <c r="K6" s="30" t="inlineStr">
        <is>
          <t>AuthServiceTest; AuthControllerIntegrationTest; SystemFunctionalTests; RbacIntegrationTest; SecurityAnnotationArchTest; GitHub Actions secret scan; application-prod.properties; Maven Enforcer; pom.xml; MFA/TOTP code and tests detected; Spring method security and RBAC annotations detected; SCA/SBOM/enforcer configuration detected; CI secret/security scanning configuration detected</t>
        </is>
      </c>
      <c r="L6" s="30" t="inlineStr">
        <is>
          <t>administrator MFA; account status validation; failed-login lockout behaviour; RBAC roles and endpoint isolation; controller/service authorization guardrails; user data access isolation; secrets externalized through configuration; pinned dependency rules</t>
        </is>
      </c>
      <c r="M6" s="30" t="inlineStr">
        <is>
          <t>Keep make asvs-tracker passing; reassess if code, tests, or scope changes.</t>
        </is>
      </c>
    </row>
    <row r="7" ht="18" customHeight="1" s="26">
      <c r="A7" s="33" t="inlineStr">
        <is>
          <t>V8.2</t>
        </is>
      </c>
      <c r="B7" s="33" t="inlineStr">
        <is>
          <t>General Authorization Design</t>
        </is>
      </c>
      <c r="C7" s="33" t="n"/>
      <c r="D7" s="33" t="n"/>
      <c r="E7" s="33" t="n"/>
      <c r="F7" s="33" t="n"/>
      <c r="G7" s="33" t="n"/>
      <c r="H7" s="33" t="n"/>
      <c r="I7" s="30" t="n"/>
      <c r="J7" s="30" t="n"/>
      <c r="K7" s="30" t="n"/>
      <c r="L7" s="30" t="n"/>
      <c r="M7" s="30" t="n"/>
    </row>
    <row r="8" ht="30" customHeight="1" s="26">
      <c r="A8" s="34" t="inlineStr">
        <is>
          <t>V8.2</t>
        </is>
      </c>
      <c r="B8" s="34" t="inlineStr">
        <is>
          <t>General Authorization Design</t>
        </is>
      </c>
      <c r="C8" s="34" t="inlineStr">
        <is>
          <t>V8.2.1</t>
        </is>
      </c>
      <c r="D8" s="34" t="inlineStr">
        <is>
          <t>Verify that the application ensures that function-level access is restricted to consumers with explicit permissions.</t>
        </is>
      </c>
      <c r="E8" s="38" t="n">
        <v>1</v>
      </c>
      <c r="F8" s="36" t="inlineStr">
        <is>
          <t>Compliant</t>
        </is>
      </c>
      <c r="G8" s="34" t="inlineStr">
        <is>
          <t>Automatically marked compliant from passing evidence: RBAC roles and endpoint isolation; controller/service authorization guardrails; user data access isolation.</t>
        </is>
      </c>
      <c r="H8" s="34" t="inlineStr">
        <is>
          <t>SR-02; SR-06; SR-08; RbacIntegrationTest; SecurityAnnotationArchTest; SystemFunctionalTests; Spring method security and RBAC annotations detected</t>
        </is>
      </c>
      <c r="I8" s="30" t="inlineStr">
        <is>
          <t>Automatically inferred as implemented or justified from passing tests, source code, configuration, or build artifacts.</t>
        </is>
      </c>
      <c r="J8" s="30" t="inlineStr">
        <is>
          <t>Automated repository evidence</t>
        </is>
      </c>
      <c r="K8" s="30" t="inlineStr">
        <is>
          <t>RbacIntegrationTest; SecurityAnnotationArchTest; SystemFunctionalTests; Spring method security and RBAC annotations detected</t>
        </is>
      </c>
      <c r="L8" s="30" t="inlineStr">
        <is>
          <t>RBAC roles and endpoint isolation; controller/service authorization guardrails; user data access isolation</t>
        </is>
      </c>
      <c r="M8" s="30" t="inlineStr">
        <is>
          <t>Keep make asvs-tracker passing; reassess if code, tests, or scope changes.</t>
        </is>
      </c>
    </row>
    <row r="9" ht="30" customHeight="1" s="26">
      <c r="A9" s="37" t="inlineStr">
        <is>
          <t>V8.2</t>
        </is>
      </c>
      <c r="B9" s="37" t="inlineStr">
        <is>
          <t>General Authorization Design</t>
        </is>
      </c>
      <c r="C9" s="37" t="inlineStr">
        <is>
          <t>V8.2.2</t>
        </is>
      </c>
      <c r="D9" s="37" t="inlineStr">
        <is>
          <t>Verify that the application ensures that data-specific access is restricted to consumers with explicit permissions to specific data items to mitigate insecure direct object reference (IDOR) and broken object level authorization (BOLA).</t>
        </is>
      </c>
      <c r="E9" s="38" t="n">
        <v>1</v>
      </c>
      <c r="F9" s="36" t="inlineStr">
        <is>
          <t>Compliant</t>
        </is>
      </c>
      <c r="G9" s="37" t="inlineStr">
        <is>
          <t>Automatically marked compliant from passing evidence: user data access isolation; RBAC roles and endpoint isolation; controller/service authorization guardrails.</t>
        </is>
      </c>
      <c r="H9" s="37" t="inlineStr">
        <is>
          <t>SR-08; SR-02; SR-06; RbacIntegrationTest; SystemFunctionalTests; SecurityAnnotationArchTest; Spring method security and RBAC annotations detected</t>
        </is>
      </c>
      <c r="I9" s="30" t="inlineStr">
        <is>
          <t>Automatically inferred as implemented or justified from passing tests, source code, configuration, or build artifacts.</t>
        </is>
      </c>
      <c r="J9" s="30" t="inlineStr">
        <is>
          <t>Automated repository evidence</t>
        </is>
      </c>
      <c r="K9" s="30" t="inlineStr">
        <is>
          <t>RbacIntegrationTest; SystemFunctionalTests; SecurityAnnotationArchTest; Spring method security and RBAC annotations detected</t>
        </is>
      </c>
      <c r="L9" s="30" t="inlineStr">
        <is>
          <t>user data access isolation; RBAC roles and endpoint isolation; controller/service authorization guardrails</t>
        </is>
      </c>
      <c r="M9" s="30" t="inlineStr">
        <is>
          <t>Keep make asvs-tracker passing; reassess if code, tests, or scope changes.</t>
        </is>
      </c>
    </row>
    <row r="10" ht="30" customHeight="1" s="26">
      <c r="A10" s="34" t="inlineStr">
        <is>
          <t>V8.2</t>
        </is>
      </c>
      <c r="B10" s="34" t="inlineStr">
        <is>
          <t>General Authorization Design</t>
        </is>
      </c>
      <c r="C10" s="34" t="inlineStr">
        <is>
          <t>V8.2.3</t>
        </is>
      </c>
      <c r="D10" s="34" t="inlineStr">
        <is>
          <t>Verify that the application ensures that field-level access is restricted to consumers with explicit permissions to specific fields to mitigate broken object property level authorization (BOPLA).</t>
        </is>
      </c>
      <c r="E10" s="35" t="n">
        <v>2</v>
      </c>
      <c r="F10" s="36" t="inlineStr">
        <is>
          <t>Compliant</t>
        </is>
      </c>
      <c r="G10" s="34" t="inlineStr">
        <is>
          <t>Automatically marked compliant from passing evidence: DTO response boundaries and unknown-field rejection; RBAC roles and endpoint isolation; controller/service authorization guardrails; user data access isolation.</t>
        </is>
      </c>
      <c r="H10" s="34" t="inlineStr">
        <is>
          <t>SR-16; SR-02; SR-06; SR-08; ControllerUnitTests; GlobalExceptionHandlerTest; RbacIntegrationTest; SecurityAnnotationArchTest; SystemFunctionalTests; Spring method security and RBAC annotations detected</t>
        </is>
      </c>
      <c r="I10" s="30" t="inlineStr">
        <is>
          <t>Automatically inferred as implemented or justified from passing tests, source code, configuration, or build artifacts.</t>
        </is>
      </c>
      <c r="J10" s="30" t="inlineStr">
        <is>
          <t>Automated repository evidence</t>
        </is>
      </c>
      <c r="K10" s="30" t="inlineStr">
        <is>
          <t>ControllerUnitTests; GlobalExceptionHandlerTest; RbacIntegrationTest; SecurityAnnotationArchTest; SystemFunctionalTests; Spring method security and RBAC annotations detected</t>
        </is>
      </c>
      <c r="L10" s="30" t="inlineStr">
        <is>
          <t>DTO response boundaries and unknown-field rejection; RBAC roles and endpoint isolation; controller/service authorization guardrails; user data access isolation</t>
        </is>
      </c>
      <c r="M10" s="30" t="inlineStr">
        <is>
          <t>Keep make asvs-tracker passing; reassess if code, tests, or scope changes.</t>
        </is>
      </c>
    </row>
    <row r="11" ht="30" customHeight="1" s="26">
      <c r="A11" s="37" t="inlineStr">
        <is>
          <t>V8.2</t>
        </is>
      </c>
      <c r="B11" s="37" t="inlineStr">
        <is>
          <t>General Authorization Design</t>
        </is>
      </c>
      <c r="C11" s="37" t="inlineStr">
        <is>
          <t>V8.2.4</t>
        </is>
      </c>
      <c r="D11" s="37"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40" t="n">
        <v>3</v>
      </c>
      <c r="F11" s="36" t="inlineStr">
        <is>
          <t>Compliant</t>
        </is>
      </c>
      <c r="G11" s="37" t="inlineStr">
        <is>
          <t>Automatically marked compliant from passing evidence: administrator MFA; account status validation; failed-login lockout behaviour; RBAC roles and endpoint isolation; controller/service authorization guardrails; user data access isolation; secrets externalized through configuration; pinned dependency rules.</t>
        </is>
      </c>
      <c r="H11" s="37" t="inlineStr">
        <is>
          <t>SR-44; SR-01; SR-05; SR-07; SR-02; SR-06; SR-08; SR-11; SR-34; AuthServiceTest; AuthControllerIntegrationTest; SystemFunctionalTests; RbacIntegrationTest; SecurityAnnotationArchTest; GitHub Actions secret scan; application-prod.properties; Maven Enforcer; pom.xml; MFA/TOTP code and tests detected; Spring method security and RBAC annotations detected; SCA/SBOM/enforcer configuration detected; CI secret/security scanning configuration detected</t>
        </is>
      </c>
      <c r="I11" s="30" t="inlineStr">
        <is>
          <t>Automatically inferred as implemented or justified from passing tests, source code, configuration, or build artifacts.</t>
        </is>
      </c>
      <c r="J11" s="30" t="inlineStr">
        <is>
          <t>Automated repository evidence</t>
        </is>
      </c>
      <c r="K11" s="30" t="inlineStr">
        <is>
          <t>AuthServiceTest; AuthControllerIntegrationTest; SystemFunctionalTests; RbacIntegrationTest; SecurityAnnotationArchTest; GitHub Actions secret scan; application-prod.properties; Maven Enforcer; pom.xml; MFA/TOTP code and tests detected; Spring method security and RBAC annotations detected; SCA/SBOM/enforcer configuration detected; CI secret/security scanning configuration detected</t>
        </is>
      </c>
      <c r="L11" s="30" t="inlineStr">
        <is>
          <t>administrator MFA; account status validation; failed-login lockout behaviour; RBAC roles and endpoint isolation; controller/service authorization guardrails; user data access isolation; secrets externalized through configuration; pinned dependency rules</t>
        </is>
      </c>
      <c r="M11" s="30" t="inlineStr">
        <is>
          <t>Keep make asvs-tracker passing; reassess if code, tests, or scope changes.</t>
        </is>
      </c>
    </row>
    <row r="12" ht="18" customHeight="1" s="26">
      <c r="A12" s="33" t="inlineStr">
        <is>
          <t>V8.3</t>
        </is>
      </c>
      <c r="B12" s="33" t="inlineStr">
        <is>
          <t>Operation Level Authorization</t>
        </is>
      </c>
      <c r="C12" s="33" t="n"/>
      <c r="D12" s="33" t="n"/>
      <c r="E12" s="33" t="n"/>
      <c r="F12" s="33" t="n"/>
      <c r="G12" s="33" t="n"/>
      <c r="H12" s="33" t="n"/>
      <c r="I12" s="30" t="n"/>
      <c r="J12" s="30" t="n"/>
      <c r="K12" s="30" t="n"/>
      <c r="L12" s="30" t="n"/>
      <c r="M12" s="30" t="n"/>
    </row>
    <row r="13" ht="30" customHeight="1" s="26">
      <c r="A13" s="34" t="inlineStr">
        <is>
          <t>V8.3</t>
        </is>
      </c>
      <c r="B13" s="34" t="inlineStr">
        <is>
          <t>Operation Level Authorization</t>
        </is>
      </c>
      <c r="C13" s="34" t="inlineStr">
        <is>
          <t>V8.3.1</t>
        </is>
      </c>
      <c r="D13" s="34" t="inlineStr">
        <is>
          <t>Verify that the application enforces authorization rules at a trusted service layer and doesn't rely on controls that an untrusted consumer could manipulate, such as client-side JavaScript.</t>
        </is>
      </c>
      <c r="E13" s="38" t="n">
        <v>1</v>
      </c>
      <c r="F13" s="39" t="inlineStr">
        <is>
          <t>N/A</t>
        </is>
      </c>
      <c r="G13" s="34" t="inlineStr">
        <is>
          <t>Automatically marked out of scope: No browser-rendered frontend surface is present in this repository.</t>
        </is>
      </c>
      <c r="H13" s="34" t="inlineStr">
        <is>
          <t>Automated scope inference</t>
        </is>
      </c>
      <c r="I13" s="30" t="inlineStr">
        <is>
          <t>Out of scope for VendNet as currently implemented, or the requirement does not apply to this REST API/backend.</t>
        </is>
      </c>
      <c r="J13" s="30" t="inlineStr">
        <is>
          <t>Scope inference</t>
        </is>
      </c>
      <c r="K13" s="30" t="inlineStr">
        <is>
          <t>Not required for current backend scope.</t>
        </is>
      </c>
      <c r="L13" s="30" t="inlineStr">
        <is>
          <t>No browser-rendered frontend surface is present in this repository.</t>
        </is>
      </c>
      <c r="M13" s="30" t="inlineStr">
        <is>
          <t>Revisit if the application scope changes.</t>
        </is>
      </c>
    </row>
    <row r="14" ht="30" customHeight="1" s="26">
      <c r="A14" s="37" t="inlineStr">
        <is>
          <t>V8.3</t>
        </is>
      </c>
      <c r="B14" s="37" t="inlineStr">
        <is>
          <t>Operation Level Authorization</t>
        </is>
      </c>
      <c r="C14" s="37" t="inlineStr">
        <is>
          <t>V8.3.2</t>
        </is>
      </c>
      <c r="D14" s="37"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40" t="n">
        <v>3</v>
      </c>
      <c r="F14" s="36" t="inlineStr">
        <is>
          <t>Compliant</t>
        </is>
      </c>
      <c r="G14" s="37" t="inlineStr">
        <is>
          <t>Automatically marked compliant from passing evidence: account status validation; role-change audit logging; JWT signature and algorithm validation; JWT key strength and server-side signing; RBAC roles and endpoint isolation; controller/service authorization guardrails; user data access isolation.</t>
        </is>
      </c>
      <c r="H14" s="37" t="inlineStr">
        <is>
          <t>SR-05; SR-39; SR-03; SR-04; SR-02; SR-06; SR-08; AuthServiceTest; AuthControllerIntegrationTest; AuditLoggerTest; RbacIntegrationTest; AbuseCaseRegressionTest; JwtServiceTest; JwtAuthenticationFilterTest; SecurityAnnotationArchTest; SystemFunctionalTests; JWT service and signing/filter code detected; Spring method security and RBAC annotations detected; audit logging implementation detected</t>
        </is>
      </c>
      <c r="I14" s="30" t="inlineStr">
        <is>
          <t>Automatically inferred as implemented or justified from passing tests, source code, configuration, or build artifacts.</t>
        </is>
      </c>
      <c r="J14" s="30" t="inlineStr">
        <is>
          <t>Automated repository evidence</t>
        </is>
      </c>
      <c r="K14" s="30" t="inlineStr">
        <is>
          <t>AuthServiceTest; AuthControllerIntegrationTest; AuditLoggerTest; RbacIntegrationTest; AbuseCaseRegressionTest; JwtServiceTest; JwtAuthenticationFilterTest; SecurityAnnotationArchTest; SystemFunctionalTests; JWT service and signing/filter code detected; Spring method security and RBAC annotations detected; audit logging implementation detected</t>
        </is>
      </c>
      <c r="L14" s="30" t="inlineStr">
        <is>
          <t>account status validation; role-change audit logging; JWT signature and algorithm validation; JWT key strength and server-side signing; RBAC roles and endpoint isolation; controller/service authorization guardrails; user data access isolation</t>
        </is>
      </c>
      <c r="M14" s="30" t="inlineStr">
        <is>
          <t>Keep make asvs-tracker passing; reassess if code, tests, or scope changes.</t>
        </is>
      </c>
    </row>
    <row r="15" ht="30" customHeight="1" s="26">
      <c r="A15" s="34" t="inlineStr">
        <is>
          <t>V8.3</t>
        </is>
      </c>
      <c r="B15" s="34" t="inlineStr">
        <is>
          <t>Operation Level Authorization</t>
        </is>
      </c>
      <c r="C15" s="34" t="inlineStr">
        <is>
          <t>V8.3.3</t>
        </is>
      </c>
      <c r="D15" s="34"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40" t="n">
        <v>3</v>
      </c>
      <c r="F15" s="36" t="inlineStr">
        <is>
          <t>Compliant</t>
        </is>
      </c>
      <c r="G15" s="34" t="inlineStr">
        <is>
          <t>Automatically marked compliant from passing evidence: user data access isolation; JWT signature and algorithm validation; JWT key strength and server-side signing; administrator MFA; account status validation; failed-login lockout behaviour; RBAC roles and endpoint isolation; controller/service authorization guardrails.</t>
        </is>
      </c>
      <c r="H15" s="34" t="inlineStr">
        <is>
          <t>SR-08; SR-03; SR-04; SR-01; SR-05; SR-07; SR-02; SR-06; RbacIntegrationTest; SystemFunctionalTests; AbuseCaseRegressionTest; JwtServiceTest; JwtAuthenticationFilterTest; AuthServiceTest; AuthControllerIntegrationTest; SecurityAnnotationArchTest; JWT service and signing/filter code detected; MFA/TOTP code and tests detected; Spring method security and RBAC annotations detected</t>
        </is>
      </c>
      <c r="I15" s="30" t="inlineStr">
        <is>
          <t>Automatically inferred as implemented or justified from passing tests, source code, configuration, or build artifacts.</t>
        </is>
      </c>
      <c r="J15" s="30" t="inlineStr">
        <is>
          <t>Automated repository evidence</t>
        </is>
      </c>
      <c r="K15" s="30" t="inlineStr">
        <is>
          <t>RbacIntegrationTest; SystemFunctionalTests; AbuseCaseRegressionTest; JwtServiceTest; JwtAuthenticationFilterTest; AuthServiceTest; AuthControllerIntegrationTest; SecurityAnnotationArchTest; JWT service and signing/filter code detected; MFA/TOTP code and tests detected; Spring method security and RBAC annotations detected</t>
        </is>
      </c>
      <c r="L15" s="30" t="inlineStr">
        <is>
          <t>user data access isolation; JWT signature and algorithm validation; JWT key strength and server-side signing; administrator MFA; account status validation; failed-login lockout behaviour; RBAC roles and endpoint isolation; controller/service authorization guardrails</t>
        </is>
      </c>
      <c r="M15" s="30" t="inlineStr">
        <is>
          <t>Keep make asvs-tracker passing; reassess if code, tests, or scope changes.</t>
        </is>
      </c>
    </row>
    <row r="16" ht="18" customHeight="1" s="26">
      <c r="A16" s="33" t="inlineStr">
        <is>
          <t>V8.4</t>
        </is>
      </c>
      <c r="B16" s="33" t="inlineStr">
        <is>
          <t>Other Authorization Considerations</t>
        </is>
      </c>
      <c r="C16" s="33" t="n"/>
      <c r="D16" s="33" t="n"/>
      <c r="E16" s="33" t="n"/>
      <c r="F16" s="33" t="n"/>
      <c r="G16" s="33" t="n"/>
      <c r="H16" s="33" t="n"/>
      <c r="I16" s="30" t="n"/>
      <c r="J16" s="30" t="n"/>
      <c r="K16" s="30" t="n"/>
      <c r="L16" s="30" t="n"/>
      <c r="M16" s="30" t="n"/>
    </row>
    <row r="17" ht="30" customHeight="1" s="26">
      <c r="A17" s="34" t="inlineStr">
        <is>
          <t>V8.4</t>
        </is>
      </c>
      <c r="B17" s="34" t="inlineStr">
        <is>
          <t>Other Authorization Considerations</t>
        </is>
      </c>
      <c r="C17" s="34" t="inlineStr">
        <is>
          <t>V8.4.1</t>
        </is>
      </c>
      <c r="D17" s="34" t="inlineStr">
        <is>
          <t>Verify that multi-tenant applications use cross-tenant controls to ensure consumer operations will never affect tenants with which they do not have permissions to interact.</t>
        </is>
      </c>
      <c r="E17" s="35" t="n">
        <v>2</v>
      </c>
      <c r="F17" s="36" t="inlineStr">
        <is>
          <t>Compliant</t>
        </is>
      </c>
      <c r="G17" s="34" t="inlineStr">
        <is>
          <t>Automatically marked compliant from passing evidence: RBAC roles and endpoint isolation; controller/service authorization guardrails; user data access isolation.</t>
        </is>
      </c>
      <c r="H17" s="34" t="inlineStr">
        <is>
          <t>SR-02; SR-06; SR-08; RbacIntegrationTest; SecurityAnnotationArchTest; SystemFunctionalTests; Spring method security and RBAC annotations detected</t>
        </is>
      </c>
      <c r="I17" s="30" t="inlineStr">
        <is>
          <t>Automatically inferred as implemented or justified from passing tests, source code, configuration, or build artifacts.</t>
        </is>
      </c>
      <c r="J17" s="30" t="inlineStr">
        <is>
          <t>Automated repository evidence</t>
        </is>
      </c>
      <c r="K17" s="30" t="inlineStr">
        <is>
          <t>RbacIntegrationTest; SecurityAnnotationArchTest; SystemFunctionalTests; Spring method security and RBAC annotations detected</t>
        </is>
      </c>
      <c r="L17" s="30" t="inlineStr">
        <is>
          <t>RBAC roles and endpoint isolation; controller/service authorization guardrails; user data access isolation</t>
        </is>
      </c>
      <c r="M17" s="30" t="inlineStr">
        <is>
          <t>Keep make asvs-tracker passing; reassess if code, tests, or scope changes.</t>
        </is>
      </c>
    </row>
    <row r="18" ht="30" customHeight="1" s="26">
      <c r="A18" s="37" t="inlineStr">
        <is>
          <t>V8.4</t>
        </is>
      </c>
      <c r="B18" s="37" t="inlineStr">
        <is>
          <t>Other Authorization Considerations</t>
        </is>
      </c>
      <c r="C18" s="37" t="inlineStr">
        <is>
          <t>V8.4.2</t>
        </is>
      </c>
      <c r="D18" s="37"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40" t="n">
        <v>3</v>
      </c>
      <c r="F18" s="36" t="inlineStr">
        <is>
          <t>Compliant</t>
        </is>
      </c>
      <c r="G18" s="37" t="inlineStr">
        <is>
          <t>Automatically marked compliant from passing evidence: administrator MFA; RBAC roles and endpoint isolation; controller/service authorization guardrails; user data access isolation.</t>
        </is>
      </c>
      <c r="H18" s="37" t="inlineStr">
        <is>
          <t>SR-01; SR-44; SR-02; SR-06; SR-08; AuthServiceTest; AuthControllerIntegrationTest; RbacIntegrationTest; SecurityAnnotationArchTest; SystemFunctionalTests; MFA/TOTP code and tests detected; Spring method security and RBAC annotations detected</t>
        </is>
      </c>
      <c r="I18" s="30" t="inlineStr">
        <is>
          <t>Automatically inferred as implemented or justified from passing tests, source code, configuration, or build artifacts.</t>
        </is>
      </c>
      <c r="J18" s="30" t="inlineStr">
        <is>
          <t>Automated repository evidence</t>
        </is>
      </c>
      <c r="K18" s="30" t="inlineStr">
        <is>
          <t>AuthServiceTest; AuthControllerIntegrationTest; RbacIntegrationTest; SecurityAnnotationArchTest; SystemFunctionalTests; MFA/TOTP code and tests detected; Spring method security and RBAC annotations detected</t>
        </is>
      </c>
      <c r="L18" s="30" t="inlineStr">
        <is>
          <t>administrator MFA; RBAC roles and endpoint isolation; controller/service authorization guardrails; user data access isolation</t>
        </is>
      </c>
      <c r="M18" s="30" t="inlineStr">
        <is>
          <t>Keep make asvs-tracker passing; reassess if code, tests, or scope changes.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1.xml><?xml version="1.0" encoding="utf-8"?>
<worksheet xmlns="http://schemas.openxmlformats.org/spreadsheetml/2006/main">
  <sheetPr>
    <outlinePr summaryBelow="1" summaryRight="1"/>
    <pageSetUpPr/>
  </sheetPr>
  <dimension ref="A1:M10"/>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V9.1</t>
        </is>
      </c>
      <c r="B2" s="33" t="inlineStr">
        <is>
          <t>Token source and integrity</t>
        </is>
      </c>
      <c r="C2" s="33" t="n"/>
      <c r="D2" s="33" t="n"/>
      <c r="E2" s="33" t="n"/>
      <c r="F2" s="33" t="n"/>
      <c r="G2" s="33" t="n"/>
      <c r="H2" s="33" t="n"/>
      <c r="I2" s="30" t="n"/>
      <c r="J2" s="30" t="n"/>
      <c r="K2" s="30" t="n"/>
      <c r="L2" s="30" t="n"/>
      <c r="M2" s="30" t="n"/>
    </row>
    <row r="3" ht="30" customHeight="1" s="26">
      <c r="A3" s="34" t="inlineStr">
        <is>
          <t>V9.1</t>
        </is>
      </c>
      <c r="B3" s="34" t="inlineStr">
        <is>
          <t>Token source and integrity</t>
        </is>
      </c>
      <c r="C3" s="34" t="inlineStr">
        <is>
          <t>V9.1.1</t>
        </is>
      </c>
      <c r="D3" s="34" t="inlineStr">
        <is>
          <t>Verify that self-contained tokens are validated using their digital signature or MAC to protect against tampering before accepting the token's contents.</t>
        </is>
      </c>
      <c r="E3" s="38" t="n">
        <v>1</v>
      </c>
      <c r="F3" s="36" t="inlineStr">
        <is>
          <t>Compliant</t>
        </is>
      </c>
      <c r="G3" s="34" t="inlineStr">
        <is>
          <t>Automatically marked compliant from passing evidence: JWT signature and algorithm validation; JWT key strength and server-side signing.</t>
        </is>
      </c>
      <c r="H3" s="34" t="inlineStr">
        <is>
          <t>SR-03; SR-04; AbuseCaseRegressionTest; JwtServiceTest; JwtAuthenticationFilterTest; JWT service and signing/filter code detected</t>
        </is>
      </c>
      <c r="I3" s="30" t="inlineStr">
        <is>
          <t>Automatically inferred as implemented or justified from passing tests, source code, configuration, or build artifacts.</t>
        </is>
      </c>
      <c r="J3" s="30" t="inlineStr">
        <is>
          <t>Automated repository evidence</t>
        </is>
      </c>
      <c r="K3" s="30" t="inlineStr">
        <is>
          <t>AbuseCaseRegressionTest; JwtServiceTest; JwtAuthenticationFilterTest; JWT service and signing/filter code detected</t>
        </is>
      </c>
      <c r="L3" s="30" t="inlineStr">
        <is>
          <t>JWT signature and algorithm validation; JWT key strength and server-side signing</t>
        </is>
      </c>
      <c r="M3" s="30" t="inlineStr">
        <is>
          <t>Keep make asvs-tracker passing; reassess if code, tests, or scope changes.</t>
        </is>
      </c>
    </row>
    <row r="4" ht="30" customHeight="1" s="26">
      <c r="A4" s="37" t="inlineStr">
        <is>
          <t>V9.1</t>
        </is>
      </c>
      <c r="B4" s="37" t="inlineStr">
        <is>
          <t>Token source and integrity</t>
        </is>
      </c>
      <c r="C4" s="37" t="inlineStr">
        <is>
          <t>V9.1.2</t>
        </is>
      </c>
      <c r="D4" s="37"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38" t="n">
        <v>1</v>
      </c>
      <c r="F4" s="36" t="inlineStr">
        <is>
          <t>Compliant</t>
        </is>
      </c>
      <c r="G4" s="37" t="inlineStr">
        <is>
          <t>Automatically marked compliant from passing evidence: JWT signature and algorithm validation; JWT key strength and server-side signing.</t>
        </is>
      </c>
      <c r="H4" s="37" t="inlineStr">
        <is>
          <t>SR-03; SR-04; AbuseCaseRegressionTest; JwtServiceTest; JwtAuthenticationFilterTest; JWT service and signing/filter code detected</t>
        </is>
      </c>
      <c r="I4" s="30" t="inlineStr">
        <is>
          <t>Automatically inferred as implemented or justified from passing tests, source code, configuration, or build artifacts.</t>
        </is>
      </c>
      <c r="J4" s="30" t="inlineStr">
        <is>
          <t>Automated repository evidence</t>
        </is>
      </c>
      <c r="K4" s="30" t="inlineStr">
        <is>
          <t>AbuseCaseRegressionTest; JwtServiceTest; JwtAuthenticationFilterTest; JWT service and signing/filter code detected</t>
        </is>
      </c>
      <c r="L4" s="30" t="inlineStr">
        <is>
          <t>JWT signature and algorithm validation; JWT key strength and server-side signing</t>
        </is>
      </c>
      <c r="M4" s="30" t="inlineStr">
        <is>
          <t>Keep make asvs-tracker passing; reassess if code, tests, or scope changes.</t>
        </is>
      </c>
    </row>
    <row r="5" ht="30" customHeight="1" s="26">
      <c r="A5" s="34" t="inlineStr">
        <is>
          <t>V9.1</t>
        </is>
      </c>
      <c r="B5" s="34" t="inlineStr">
        <is>
          <t>Token source and integrity</t>
        </is>
      </c>
      <c r="C5" s="34" t="inlineStr">
        <is>
          <t>V9.1.3</t>
        </is>
      </c>
      <c r="D5" s="34"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38" t="n">
        <v>1</v>
      </c>
      <c r="F5" s="36" t="inlineStr">
        <is>
          <t>Compliant</t>
        </is>
      </c>
      <c r="G5" s="34" t="inlineStr">
        <is>
          <t>Automatically marked compliant from passing evidence: JWT key strength and server-side signing; JWT signature and algorithm validation.</t>
        </is>
      </c>
      <c r="H5" s="34" t="inlineStr">
        <is>
          <t>SR-04; SR-03; JwtServiceTest; JwtAuthenticationFilterTest; AbuseCaseRegressionTest; JWT service and signing/filter code detected</t>
        </is>
      </c>
      <c r="I5" s="30" t="inlineStr">
        <is>
          <t>Automatically inferred as implemented or justified from passing tests, source code, configuration, or build artifacts.</t>
        </is>
      </c>
      <c r="J5" s="30" t="inlineStr">
        <is>
          <t>Automated repository evidence</t>
        </is>
      </c>
      <c r="K5" s="30" t="inlineStr">
        <is>
          <t>JwtServiceTest; JwtAuthenticationFilterTest; AbuseCaseRegressionTest; JWT service and signing/filter code detected</t>
        </is>
      </c>
      <c r="L5" s="30" t="inlineStr">
        <is>
          <t>JWT key strength and server-side signing; JWT signature and algorithm validation</t>
        </is>
      </c>
      <c r="M5" s="30" t="inlineStr">
        <is>
          <t>Keep make asvs-tracker passing; reassess if code, tests, or scope changes.</t>
        </is>
      </c>
    </row>
    <row r="6" ht="18" customHeight="1" s="26">
      <c r="A6" s="33" t="inlineStr">
        <is>
          <t>V9.2</t>
        </is>
      </c>
      <c r="B6" s="33" t="inlineStr">
        <is>
          <t>Token content</t>
        </is>
      </c>
      <c r="C6" s="33" t="n"/>
      <c r="D6" s="33" t="n"/>
      <c r="E6" s="33" t="n"/>
      <c r="F6" s="33" t="n"/>
      <c r="G6" s="33" t="n"/>
      <c r="H6" s="33" t="n"/>
      <c r="I6" s="30" t="n"/>
      <c r="J6" s="30" t="n"/>
      <c r="K6" s="30" t="n"/>
      <c r="L6" s="30" t="n"/>
      <c r="M6" s="30" t="n"/>
    </row>
    <row r="7" ht="30" customHeight="1" s="26">
      <c r="A7" s="34" t="inlineStr">
        <is>
          <t>V9.2</t>
        </is>
      </c>
      <c r="B7" s="34" t="inlineStr">
        <is>
          <t>Token content</t>
        </is>
      </c>
      <c r="C7" s="34" t="inlineStr">
        <is>
          <t>V9.2.1</t>
        </is>
      </c>
      <c r="D7" s="34" t="inlineStr">
        <is>
          <t>Verify that, if a validity time span is present in the token data, the token and its content are accepted only if the verification time is within this validity time span. For example, for JWTs, the claims 'nbf' and 'exp' must be verified.</t>
        </is>
      </c>
      <c r="E7" s="38" t="n">
        <v>1</v>
      </c>
      <c r="F7" s="36" t="inlineStr">
        <is>
          <t>Compliant</t>
        </is>
      </c>
      <c r="G7" s="34" t="inlineStr">
        <is>
          <t>Automatically marked compliant from passing evidence: JWT signature and algorithm validation; JWT key strength and server-side signing.</t>
        </is>
      </c>
      <c r="H7" s="34" t="inlineStr">
        <is>
          <t>SR-03; SR-04; AbuseCaseRegressionTest; JwtServiceTest; JwtAuthenticationFilterTest; JWT service and signing/filter code detected</t>
        </is>
      </c>
      <c r="I7" s="30" t="inlineStr">
        <is>
          <t>Automatically inferred as implemented or justified from passing tests, source code, configuration, or build artifacts.</t>
        </is>
      </c>
      <c r="J7" s="30" t="inlineStr">
        <is>
          <t>Automated repository evidence</t>
        </is>
      </c>
      <c r="K7" s="30" t="inlineStr">
        <is>
          <t>AbuseCaseRegressionTest; JwtServiceTest; JwtAuthenticationFilterTest; JWT service and signing/filter code detected</t>
        </is>
      </c>
      <c r="L7" s="30" t="inlineStr">
        <is>
          <t>JWT signature and algorithm validation; JWT key strength and server-side signing</t>
        </is>
      </c>
      <c r="M7" s="30" t="inlineStr">
        <is>
          <t>Keep make asvs-tracker passing; reassess if code, tests, or scope changes.</t>
        </is>
      </c>
    </row>
    <row r="8" ht="30" customHeight="1" s="26">
      <c r="A8" s="37" t="inlineStr">
        <is>
          <t>V9.2</t>
        </is>
      </c>
      <c r="B8" s="37" t="inlineStr">
        <is>
          <t>Token content</t>
        </is>
      </c>
      <c r="C8" s="37" t="inlineStr">
        <is>
          <t>V9.2.2</t>
        </is>
      </c>
      <c r="D8" s="37"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35" t="n">
        <v>2</v>
      </c>
      <c r="F8" s="36" t="inlineStr">
        <is>
          <t>Compliant</t>
        </is>
      </c>
      <c r="G8" s="37" t="inlineStr">
        <is>
          <t>Automatically marked compliant from passing evidence: JWT signature and algorithm validation; JWT key strength and server-side signing; administrator MFA; account status validation; failed-login lockout behaviour; RBAC roles and endpoint isolation; controller/service authorization guardrails; user data access isolation.</t>
        </is>
      </c>
      <c r="H8" s="37" t="inlineStr">
        <is>
          <t>SR-03; SR-04; SR-01; SR-05; SR-07; SR-02; SR-06; SR-08; AbuseCaseRegressionTest; JwtServiceTest; JwtAuthenticationFilterTest; AuthServiceTest; AuthControllerIntegrationTest; SystemFunctionalTests; RbacIntegrationTest; SecurityAnnotationArchTest; JWT service and signing/filter code detected; MFA/TOTP code and tests detected; Spring method security and RBAC annotations detected</t>
        </is>
      </c>
      <c r="I8" s="30" t="inlineStr">
        <is>
          <t>Automatically inferred as implemented or justified from passing tests, source code, configuration, or build artifacts.</t>
        </is>
      </c>
      <c r="J8" s="30" t="inlineStr">
        <is>
          <t>Automated repository evidence</t>
        </is>
      </c>
      <c r="K8" s="30" t="inlineStr">
        <is>
          <t>AbuseCaseRegressionTest; JwtServiceTest; JwtAuthenticationFilterTest; AuthServiceTest; AuthControllerIntegrationTest; SystemFunctionalTests; RbacIntegrationTest; SecurityAnnotationArchTest; JWT service and signing/filter code detected; MFA/TOTP code and tests detected; Spring method security and RBAC annotations detected</t>
        </is>
      </c>
      <c r="L8" s="30" t="inlineStr">
        <is>
          <t>JWT signature and algorithm validation; JWT key strength and server-side signing; administrator MFA; account status validation; failed-login lockout behaviour; RBAC roles and endpoint isolation; controller/service authorization guardrails; user data access isolation</t>
        </is>
      </c>
      <c r="M8" s="30" t="inlineStr">
        <is>
          <t>Keep make asvs-tracker passing; reassess if code, tests, or scope changes.</t>
        </is>
      </c>
    </row>
    <row r="9" ht="30" customHeight="1" s="26">
      <c r="A9" s="34" t="inlineStr">
        <is>
          <t>V9.2</t>
        </is>
      </c>
      <c r="B9" s="34" t="inlineStr">
        <is>
          <t>Token content</t>
        </is>
      </c>
      <c r="C9" s="34" t="inlineStr">
        <is>
          <t>V9.2.3</t>
        </is>
      </c>
      <c r="D9" s="34" t="inlineStr">
        <is>
          <t>Verify that the service only accepts tokens which are intended for use with that service (audience). For JWTs, this can be achieved by validating the 'aud' claim against an allowlist defined in the service.</t>
        </is>
      </c>
      <c r="E9" s="35" t="n">
        <v>2</v>
      </c>
      <c r="F9" s="36" t="inlineStr">
        <is>
          <t>Compliant</t>
        </is>
      </c>
      <c r="G9" s="34" t="inlineStr">
        <is>
          <t>Automatically marked compliant from passing evidence: JWT signature and algorithm validation; JWT key strength and server-side signing.</t>
        </is>
      </c>
      <c r="H9" s="34" t="inlineStr">
        <is>
          <t>SR-03; SR-04; AbuseCaseRegressionTest; JwtServiceTest; JwtAuthenticationFilterTest; JWT service and signing/filter code detected</t>
        </is>
      </c>
      <c r="I9" s="30" t="inlineStr">
        <is>
          <t>Automatically inferred as implemented or justified from passing tests, source code, configuration, or build artifacts.</t>
        </is>
      </c>
      <c r="J9" s="30" t="inlineStr">
        <is>
          <t>Automated repository evidence</t>
        </is>
      </c>
      <c r="K9" s="30" t="inlineStr">
        <is>
          <t>AbuseCaseRegressionTest; JwtServiceTest; JwtAuthenticationFilterTest; JWT service and signing/filter code detected</t>
        </is>
      </c>
      <c r="L9" s="30" t="inlineStr">
        <is>
          <t>JWT signature and algorithm validation; JWT key strength and server-side signing</t>
        </is>
      </c>
      <c r="M9" s="30" t="inlineStr">
        <is>
          <t>Keep make asvs-tracker passing; reassess if code, tests, or scope changes.</t>
        </is>
      </c>
    </row>
    <row r="10" ht="30" customHeight="1" s="26">
      <c r="A10" s="37" t="inlineStr">
        <is>
          <t>V9.2</t>
        </is>
      </c>
      <c r="B10" s="37" t="inlineStr">
        <is>
          <t>Token content</t>
        </is>
      </c>
      <c r="C10" s="37" t="inlineStr">
        <is>
          <t>V9.2.4</t>
        </is>
      </c>
      <c r="D10" s="37"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35" t="n">
        <v>2</v>
      </c>
      <c r="F10" s="36" t="inlineStr">
        <is>
          <t>Compliant</t>
        </is>
      </c>
      <c r="G10" s="37" t="inlineStr">
        <is>
          <t>Automatically marked compliant from passing evidence: JWT signature and algorithm validation; JWT key strength and server-side signing.</t>
        </is>
      </c>
      <c r="H10" s="37" t="inlineStr">
        <is>
          <t>SR-03; SR-04; AbuseCaseRegressionTest; JwtServiceTest; JwtAuthenticationFilterTest; JWT service and signing/filter code detected</t>
        </is>
      </c>
      <c r="I10" s="30" t="inlineStr">
        <is>
          <t>Automatically inferred as implemented or justified from passing tests, source code, configuration, or build artifacts.</t>
        </is>
      </c>
      <c r="J10" s="30" t="inlineStr">
        <is>
          <t>Automated repository evidence</t>
        </is>
      </c>
      <c r="K10" s="30" t="inlineStr">
        <is>
          <t>AbuseCaseRegressionTest; JwtServiceTest; JwtAuthenticationFilterTest; JWT service and signing/filter code detected</t>
        </is>
      </c>
      <c r="L10" s="30" t="inlineStr">
        <is>
          <t>JWT signature and algorithm validation; JWT key strength and server-side signing</t>
        </is>
      </c>
      <c r="M10" s="30" t="inlineStr">
        <is>
          <t>Keep make asvs-tracker passing; reassess if code, tests, or scope changes.</t>
        </is>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2.xml><?xml version="1.0" encoding="utf-8"?>
<worksheet xmlns="http://schemas.openxmlformats.org/spreadsheetml/2006/main">
  <sheetPr>
    <outlinePr summaryBelow="1" summaryRight="1"/>
    <pageSetUpPr/>
  </sheetPr>
  <dimension ref="A1:M44"/>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V10.1</t>
        </is>
      </c>
      <c r="B2" s="33" t="inlineStr">
        <is>
          <t>Generic OAuth and OIDC Security</t>
        </is>
      </c>
      <c r="C2" s="33" t="n"/>
      <c r="D2" s="33" t="n"/>
      <c r="E2" s="33" t="n"/>
      <c r="F2" s="33" t="n"/>
      <c r="G2" s="33" t="n"/>
      <c r="H2" s="33" t="n"/>
      <c r="I2" s="30" t="n"/>
      <c r="J2" s="30" t="n"/>
      <c r="K2" s="30" t="n"/>
      <c r="L2" s="30" t="n"/>
      <c r="M2" s="30" t="n"/>
    </row>
    <row r="3" ht="30" customHeight="1" s="26">
      <c r="A3" s="34" t="inlineStr">
        <is>
          <t>V10.1</t>
        </is>
      </c>
      <c r="B3" s="34" t="inlineStr">
        <is>
          <t>Generic OAuth and OIDC Security</t>
        </is>
      </c>
      <c r="C3" s="34" t="inlineStr">
        <is>
          <t>V10.1.1</t>
        </is>
      </c>
      <c r="D3" s="34" t="inlineStr">
        <is>
          <t>Verify that tokens are only sent to components that strictly need them. For example, when using a backend-for-frontend pattern for browser-based JavaScript applications, access and refresh tokens shall only be accessible for the backend.</t>
        </is>
      </c>
      <c r="E3" s="35" t="n">
        <v>2</v>
      </c>
      <c r="F3" s="39" t="inlineStr">
        <is>
          <t>N/A</t>
        </is>
      </c>
      <c r="G3" s="34" t="inlineStr">
        <is>
          <t>Automatically marked out of scope: No OAuth/OIDC client, authorization server, or federated login flow is implemented.</t>
        </is>
      </c>
      <c r="H3" s="34" t="inlineStr">
        <is>
          <t>Automated scope inference</t>
        </is>
      </c>
      <c r="I3" s="30" t="inlineStr">
        <is>
          <t>Out of scope for VendNet as currently implemented, or the requirement does not apply to this REST API/backend.</t>
        </is>
      </c>
      <c r="J3" s="30" t="inlineStr">
        <is>
          <t>Scope inference</t>
        </is>
      </c>
      <c r="K3" s="30" t="inlineStr">
        <is>
          <t>Not required for current backend scope.</t>
        </is>
      </c>
      <c r="L3" s="30" t="inlineStr">
        <is>
          <t>No OAuth/OIDC client, authorization server, or federated login flow is implemented.</t>
        </is>
      </c>
      <c r="M3" s="30" t="inlineStr">
        <is>
          <t>Revisit if the application scope changes.</t>
        </is>
      </c>
    </row>
    <row r="4" ht="30" customHeight="1" s="26">
      <c r="A4" s="37" t="inlineStr">
        <is>
          <t>V10.1</t>
        </is>
      </c>
      <c r="B4" s="37" t="inlineStr">
        <is>
          <t>Generic OAuth and OIDC Security</t>
        </is>
      </c>
      <c r="C4" s="37" t="inlineStr">
        <is>
          <t>V10.1.2</t>
        </is>
      </c>
      <c r="D4" s="37"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35" t="n">
        <v>2</v>
      </c>
      <c r="F4" s="39" t="inlineStr">
        <is>
          <t>N/A</t>
        </is>
      </c>
      <c r="G4" s="37" t="inlineStr">
        <is>
          <t>Automatically marked out of scope: No OAuth/OIDC client, authorization server, or federated login flow is implemented.</t>
        </is>
      </c>
      <c r="H4" s="37" t="inlineStr">
        <is>
          <t>Automated scope inference</t>
        </is>
      </c>
      <c r="I4" s="30" t="inlineStr">
        <is>
          <t>Out of scope for VendNet as currently implemented, or the requirement does not apply to this REST API/backend.</t>
        </is>
      </c>
      <c r="J4" s="30" t="inlineStr">
        <is>
          <t>Scope inference</t>
        </is>
      </c>
      <c r="K4" s="30" t="inlineStr">
        <is>
          <t>Not required for current backend scope.</t>
        </is>
      </c>
      <c r="L4" s="30" t="inlineStr">
        <is>
          <t>No OAuth/OIDC client, authorization server, or federated login flow is implemented.</t>
        </is>
      </c>
      <c r="M4" s="30" t="inlineStr">
        <is>
          <t>Revisit if the application scope changes.</t>
        </is>
      </c>
    </row>
    <row r="5" ht="18" customHeight="1" s="26">
      <c r="A5" s="33" t="inlineStr">
        <is>
          <t>V10.2</t>
        </is>
      </c>
      <c r="B5" s="33" t="inlineStr">
        <is>
          <t>OAuth Client</t>
        </is>
      </c>
      <c r="C5" s="33" t="n"/>
      <c r="D5" s="33" t="n"/>
      <c r="E5" s="33" t="n"/>
      <c r="F5" s="33" t="n"/>
      <c r="G5" s="33" t="n"/>
      <c r="H5" s="33" t="n"/>
      <c r="I5" s="30" t="n"/>
      <c r="J5" s="30" t="n"/>
      <c r="K5" s="30" t="n"/>
      <c r="L5" s="30" t="n"/>
      <c r="M5" s="30" t="n"/>
    </row>
    <row r="6" ht="30" customHeight="1" s="26">
      <c r="A6" s="34" t="inlineStr">
        <is>
          <t>V10.2</t>
        </is>
      </c>
      <c r="B6" s="34" t="inlineStr">
        <is>
          <t>OAuth Client</t>
        </is>
      </c>
      <c r="C6" s="34" t="inlineStr">
        <is>
          <t>V10.2.1</t>
        </is>
      </c>
      <c r="D6" s="34"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35" t="n">
        <v>2</v>
      </c>
      <c r="F6" s="39" t="inlineStr">
        <is>
          <t>N/A</t>
        </is>
      </c>
      <c r="G6" s="34" t="inlineStr">
        <is>
          <t>Automatically marked out of scope: No OAuth/OIDC client, authorization server, or federated login flow is implemented.</t>
        </is>
      </c>
      <c r="H6" s="34" t="inlineStr">
        <is>
          <t>Automated scope inference</t>
        </is>
      </c>
      <c r="I6" s="30" t="inlineStr">
        <is>
          <t>Out of scope for VendNet as currently implemented, or the requirement does not apply to this REST API/backend.</t>
        </is>
      </c>
      <c r="J6" s="30" t="inlineStr">
        <is>
          <t>Scope inference</t>
        </is>
      </c>
      <c r="K6" s="30" t="inlineStr">
        <is>
          <t>Not required for current backend scope.</t>
        </is>
      </c>
      <c r="L6" s="30" t="inlineStr">
        <is>
          <t>No OAuth/OIDC client, authorization server, or federated login flow is implemented.</t>
        </is>
      </c>
      <c r="M6" s="30" t="inlineStr">
        <is>
          <t>Revisit if the application scope changes.</t>
        </is>
      </c>
    </row>
    <row r="7" ht="30" customHeight="1" s="26">
      <c r="A7" s="37" t="inlineStr">
        <is>
          <t>V10.2</t>
        </is>
      </c>
      <c r="B7" s="37" t="inlineStr">
        <is>
          <t>OAuth Client</t>
        </is>
      </c>
      <c r="C7" s="37" t="inlineStr">
        <is>
          <t>V10.2.2</t>
        </is>
      </c>
      <c r="D7" s="37"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35" t="n">
        <v>2</v>
      </c>
      <c r="F7" s="39" t="inlineStr">
        <is>
          <t>N/A</t>
        </is>
      </c>
      <c r="G7" s="37" t="inlineStr">
        <is>
          <t>Automatically marked out of scope: No OAuth/OIDC client, authorization server, or federated login flow is implemented.</t>
        </is>
      </c>
      <c r="H7" s="37" t="inlineStr">
        <is>
          <t>Automated scope inference</t>
        </is>
      </c>
      <c r="I7" s="30" t="inlineStr">
        <is>
          <t>Out of scope for VendNet as currently implemented, or the requirement does not apply to this REST API/backend.</t>
        </is>
      </c>
      <c r="J7" s="30" t="inlineStr">
        <is>
          <t>Scope inference</t>
        </is>
      </c>
      <c r="K7" s="30" t="inlineStr">
        <is>
          <t>Not required for current backend scope.</t>
        </is>
      </c>
      <c r="L7" s="30" t="inlineStr">
        <is>
          <t>No OAuth/OIDC client, authorization server, or federated login flow is implemented.</t>
        </is>
      </c>
      <c r="M7" s="30" t="inlineStr">
        <is>
          <t>Revisit if the application scope changes.</t>
        </is>
      </c>
    </row>
    <row r="8" ht="30" customHeight="1" s="26">
      <c r="A8" s="34" t="inlineStr">
        <is>
          <t>V10.2</t>
        </is>
      </c>
      <c r="B8" s="34" t="inlineStr">
        <is>
          <t>OAuth Client</t>
        </is>
      </c>
      <c r="C8" s="34" t="inlineStr">
        <is>
          <t>V10.2.3</t>
        </is>
      </c>
      <c r="D8" s="34" t="inlineStr">
        <is>
          <t>Verify that the OAuth client only requests the required scopes (or other authorization parameters) in requests to the authorization server.</t>
        </is>
      </c>
      <c r="E8" s="40" t="n">
        <v>3</v>
      </c>
      <c r="F8" s="39" t="inlineStr">
        <is>
          <t>N/A</t>
        </is>
      </c>
      <c r="G8" s="34" t="inlineStr">
        <is>
          <t>Automatically marked out of scope: No OAuth/OIDC client, authorization server, or federated login flow is implemented.</t>
        </is>
      </c>
      <c r="H8" s="34" t="inlineStr">
        <is>
          <t>Automated scope inference</t>
        </is>
      </c>
      <c r="I8" s="30" t="inlineStr">
        <is>
          <t>Out of scope for VendNet as currently implemented, or the requirement does not apply to this REST API/backend.</t>
        </is>
      </c>
      <c r="J8" s="30" t="inlineStr">
        <is>
          <t>Scope inference</t>
        </is>
      </c>
      <c r="K8" s="30" t="inlineStr">
        <is>
          <t>Not required for current backend scope.</t>
        </is>
      </c>
      <c r="L8" s="30" t="inlineStr">
        <is>
          <t>No OAuth/OIDC client, authorization server, or federated login flow is implemented.</t>
        </is>
      </c>
      <c r="M8" s="30" t="inlineStr">
        <is>
          <t>Revisit if the application scope changes.</t>
        </is>
      </c>
    </row>
    <row r="9" ht="18" customHeight="1" s="26">
      <c r="A9" s="33" t="inlineStr">
        <is>
          <t>V10.3</t>
        </is>
      </c>
      <c r="B9" s="33" t="inlineStr">
        <is>
          <t>OAuth Resource Server</t>
        </is>
      </c>
      <c r="C9" s="33" t="n"/>
      <c r="D9" s="33" t="n"/>
      <c r="E9" s="33" t="n"/>
      <c r="F9" s="33" t="n"/>
      <c r="G9" s="33" t="n"/>
      <c r="H9" s="33" t="n"/>
      <c r="I9" s="30" t="n"/>
      <c r="J9" s="30" t="n"/>
      <c r="K9" s="30" t="n"/>
      <c r="L9" s="30" t="n"/>
      <c r="M9" s="30" t="n"/>
    </row>
    <row r="10" ht="30" customHeight="1" s="26">
      <c r="A10" s="34" t="inlineStr">
        <is>
          <t>V10.3</t>
        </is>
      </c>
      <c r="B10" s="34" t="inlineStr">
        <is>
          <t>OAuth Resource Server</t>
        </is>
      </c>
      <c r="C10" s="34" t="inlineStr">
        <is>
          <t>V10.3.1</t>
        </is>
      </c>
      <c r="D10" s="34"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35" t="n">
        <v>2</v>
      </c>
      <c r="F10" s="39" t="inlineStr">
        <is>
          <t>N/A</t>
        </is>
      </c>
      <c r="G10" s="34" t="inlineStr">
        <is>
          <t>Automatically marked out of scope: No OAuth/OIDC client, authorization server, or federated login flow is implemented.</t>
        </is>
      </c>
      <c r="H10" s="34" t="inlineStr">
        <is>
          <t>Automated scope inference</t>
        </is>
      </c>
      <c r="I10" s="30" t="inlineStr">
        <is>
          <t>Out of scope for VendNet as currently implemented, or the requirement does not apply to this REST API/backend.</t>
        </is>
      </c>
      <c r="J10" s="30" t="inlineStr">
        <is>
          <t>Scope inference</t>
        </is>
      </c>
      <c r="K10" s="30" t="inlineStr">
        <is>
          <t>Not required for current backend scope.</t>
        </is>
      </c>
      <c r="L10" s="30" t="inlineStr">
        <is>
          <t>No OAuth/OIDC client, authorization server, or federated login flow is implemented.</t>
        </is>
      </c>
      <c r="M10" s="30" t="inlineStr">
        <is>
          <t>Revisit if the application scope changes.</t>
        </is>
      </c>
    </row>
    <row r="11" ht="30" customHeight="1" s="26">
      <c r="A11" s="37" t="inlineStr">
        <is>
          <t>V10.3</t>
        </is>
      </c>
      <c r="B11" s="37" t="inlineStr">
        <is>
          <t>OAuth Resource Server</t>
        </is>
      </c>
      <c r="C11" s="37" t="inlineStr">
        <is>
          <t>V10.3.2</t>
        </is>
      </c>
      <c r="D11" s="37" t="inlineStr">
        <is>
          <t>Verify that the resource server enforces authorization decisions based on claims from the access token that define delegated authorization. If claims such as 'sub', 'scope', and 'authorization_details' are present, they must be part of the decision.</t>
        </is>
      </c>
      <c r="E11" s="35" t="n">
        <v>2</v>
      </c>
      <c r="F11" s="39" t="inlineStr">
        <is>
          <t>N/A</t>
        </is>
      </c>
      <c r="G11" s="37" t="inlineStr">
        <is>
          <t>Automatically marked out of scope: No OAuth/OIDC client, authorization server, or federated login flow is implemented.</t>
        </is>
      </c>
      <c r="H11" s="37" t="inlineStr">
        <is>
          <t>Automated scope inference</t>
        </is>
      </c>
      <c r="I11" s="30" t="inlineStr">
        <is>
          <t>Out of scope for VendNet as currently implemented, or the requirement does not apply to this REST API/backend.</t>
        </is>
      </c>
      <c r="J11" s="30" t="inlineStr">
        <is>
          <t>Scope inference</t>
        </is>
      </c>
      <c r="K11" s="30" t="inlineStr">
        <is>
          <t>Not required for current backend scope.</t>
        </is>
      </c>
      <c r="L11" s="30" t="inlineStr">
        <is>
          <t>No OAuth/OIDC client, authorization server, or federated login flow is implemented.</t>
        </is>
      </c>
      <c r="M11" s="30" t="inlineStr">
        <is>
          <t>Revisit if the application scope changes.</t>
        </is>
      </c>
    </row>
    <row r="12" ht="30" customHeight="1" s="26">
      <c r="A12" s="34" t="inlineStr">
        <is>
          <t>V10.3</t>
        </is>
      </c>
      <c r="B12" s="34" t="inlineStr">
        <is>
          <t>OAuth Resource Server</t>
        </is>
      </c>
      <c r="C12" s="34" t="inlineStr">
        <is>
          <t>V10.3.3</t>
        </is>
      </c>
      <c r="D12" s="34"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35" t="n">
        <v>2</v>
      </c>
      <c r="F12" s="39" t="inlineStr">
        <is>
          <t>N/A</t>
        </is>
      </c>
      <c r="G12" s="34" t="inlineStr">
        <is>
          <t>Automatically marked out of scope: No OAuth/OIDC client, authorization server, or federated login flow is implemented.</t>
        </is>
      </c>
      <c r="H12" s="34" t="inlineStr">
        <is>
          <t>Automated scope inference</t>
        </is>
      </c>
      <c r="I12" s="30" t="inlineStr">
        <is>
          <t>Out of scope for VendNet as currently implemented, or the requirement does not apply to this REST API/backend.</t>
        </is>
      </c>
      <c r="J12" s="30" t="inlineStr">
        <is>
          <t>Scope inference</t>
        </is>
      </c>
      <c r="K12" s="30" t="inlineStr">
        <is>
          <t>Not required for current backend scope.</t>
        </is>
      </c>
      <c r="L12" s="30" t="inlineStr">
        <is>
          <t>No OAuth/OIDC client, authorization server, or federated login flow is implemented.</t>
        </is>
      </c>
      <c r="M12" s="30" t="inlineStr">
        <is>
          <t>Revisit if the application scope changes.</t>
        </is>
      </c>
    </row>
    <row r="13" ht="30" customHeight="1" s="26">
      <c r="A13" s="37" t="inlineStr">
        <is>
          <t>V10.3</t>
        </is>
      </c>
      <c r="B13" s="37" t="inlineStr">
        <is>
          <t>OAuth Resource Server</t>
        </is>
      </c>
      <c r="C13" s="37" t="inlineStr">
        <is>
          <t>V10.3.4</t>
        </is>
      </c>
      <c r="D13" s="37"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35" t="n">
        <v>2</v>
      </c>
      <c r="F13" s="39" t="inlineStr">
        <is>
          <t>N/A</t>
        </is>
      </c>
      <c r="G13" s="37" t="inlineStr">
        <is>
          <t>Automatically marked out of scope: No OAuth/OIDC client, authorization server, or federated login flow is implemented.</t>
        </is>
      </c>
      <c r="H13" s="37" t="inlineStr">
        <is>
          <t>Automated scope inference</t>
        </is>
      </c>
      <c r="I13" s="30" t="inlineStr">
        <is>
          <t>Out of scope for VendNet as currently implemented, or the requirement does not apply to this REST API/backend.</t>
        </is>
      </c>
      <c r="J13" s="30" t="inlineStr">
        <is>
          <t>Scope inference</t>
        </is>
      </c>
      <c r="K13" s="30" t="inlineStr">
        <is>
          <t>Not required for current backend scope.</t>
        </is>
      </c>
      <c r="L13" s="30" t="inlineStr">
        <is>
          <t>No OAuth/OIDC client, authorization server, or federated login flow is implemented.</t>
        </is>
      </c>
      <c r="M13" s="30" t="inlineStr">
        <is>
          <t>Revisit if the application scope changes.</t>
        </is>
      </c>
    </row>
    <row r="14" ht="30" customHeight="1" s="26">
      <c r="A14" s="34" t="inlineStr">
        <is>
          <t>V10.3</t>
        </is>
      </c>
      <c r="B14" s="34" t="inlineStr">
        <is>
          <t>OAuth Resource Server</t>
        </is>
      </c>
      <c r="C14" s="34" t="inlineStr">
        <is>
          <t>V10.3.5</t>
        </is>
      </c>
      <c r="D14" s="34"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40" t="n">
        <v>3</v>
      </c>
      <c r="F14" s="39" t="inlineStr">
        <is>
          <t>N/A</t>
        </is>
      </c>
      <c r="G14" s="34" t="inlineStr">
        <is>
          <t>Automatically marked out of scope: No OAuth/OIDC client, authorization server, or federated login flow is implemented.</t>
        </is>
      </c>
      <c r="H14" s="34" t="inlineStr">
        <is>
          <t>Automated scope inference</t>
        </is>
      </c>
      <c r="I14" s="30" t="inlineStr">
        <is>
          <t>Out of scope for VendNet as currently implemented, or the requirement does not apply to this REST API/backend.</t>
        </is>
      </c>
      <c r="J14" s="30" t="inlineStr">
        <is>
          <t>Scope inference</t>
        </is>
      </c>
      <c r="K14" s="30" t="inlineStr">
        <is>
          <t>Not required for current backend scope.</t>
        </is>
      </c>
      <c r="L14" s="30" t="inlineStr">
        <is>
          <t>No OAuth/OIDC client, authorization server, or federated login flow is implemented.</t>
        </is>
      </c>
      <c r="M14" s="30" t="inlineStr">
        <is>
          <t>Revisit if the application scope changes.</t>
        </is>
      </c>
    </row>
    <row r="15" ht="18" customHeight="1" s="26">
      <c r="A15" s="33" t="inlineStr">
        <is>
          <t>V10.4</t>
        </is>
      </c>
      <c r="B15" s="33" t="inlineStr">
        <is>
          <t>OAuth Authorization Server</t>
        </is>
      </c>
      <c r="C15" s="33" t="n"/>
      <c r="D15" s="33" t="n"/>
      <c r="E15" s="33" t="n"/>
      <c r="F15" s="33" t="n"/>
      <c r="G15" s="33" t="n"/>
      <c r="H15" s="33" t="n"/>
      <c r="I15" s="30" t="n"/>
      <c r="J15" s="30" t="n"/>
      <c r="K15" s="30" t="n"/>
      <c r="L15" s="30" t="n"/>
      <c r="M15" s="30" t="n"/>
    </row>
    <row r="16" ht="30" customHeight="1" s="26">
      <c r="A16" s="34" t="inlineStr">
        <is>
          <t>V10.4</t>
        </is>
      </c>
      <c r="B16" s="34" t="inlineStr">
        <is>
          <t>OAuth Authorization Server</t>
        </is>
      </c>
      <c r="C16" s="34" t="inlineStr">
        <is>
          <t>V10.4.1</t>
        </is>
      </c>
      <c r="D16" s="34" t="inlineStr">
        <is>
          <t>Verify that the authorization server validates redirect URIs based on a client-specific allowlist of pre-registered URIs using exact string comparison.</t>
        </is>
      </c>
      <c r="E16" s="38" t="n">
        <v>1</v>
      </c>
      <c r="F16" s="39" t="inlineStr">
        <is>
          <t>N/A</t>
        </is>
      </c>
      <c r="G16" s="34" t="inlineStr">
        <is>
          <t>Automatically marked out of scope: No OAuth/OIDC client, authorization server, or federated login flow is implemented.</t>
        </is>
      </c>
      <c r="H16" s="34" t="inlineStr">
        <is>
          <t>Automated scope inference</t>
        </is>
      </c>
      <c r="I16" s="30" t="inlineStr">
        <is>
          <t>Out of scope for VendNet as currently implemented, or the requirement does not apply to this REST API/backend.</t>
        </is>
      </c>
      <c r="J16" s="30" t="inlineStr">
        <is>
          <t>Scope inference</t>
        </is>
      </c>
      <c r="K16" s="30" t="inlineStr">
        <is>
          <t>Not required for current backend scope.</t>
        </is>
      </c>
      <c r="L16" s="30" t="inlineStr">
        <is>
          <t>No OAuth/OIDC client, authorization server, or federated login flow is implemented.</t>
        </is>
      </c>
      <c r="M16" s="30" t="inlineStr">
        <is>
          <t>Revisit if the application scope changes.</t>
        </is>
      </c>
    </row>
    <row r="17" ht="30" customHeight="1" s="26">
      <c r="A17" s="37" t="inlineStr">
        <is>
          <t>V10.4</t>
        </is>
      </c>
      <c r="B17" s="37" t="inlineStr">
        <is>
          <t>OAuth Authorization Server</t>
        </is>
      </c>
      <c r="C17" s="37" t="inlineStr">
        <is>
          <t>V10.4.2</t>
        </is>
      </c>
      <c r="D17" s="37"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38" t="n">
        <v>1</v>
      </c>
      <c r="F17" s="39" t="inlineStr">
        <is>
          <t>N/A</t>
        </is>
      </c>
      <c r="G17" s="37" t="inlineStr">
        <is>
          <t>Automatically marked out of scope: No OAuth/OIDC client, authorization server, or federated login flow is implemented.</t>
        </is>
      </c>
      <c r="H17" s="37" t="inlineStr">
        <is>
          <t>Automated scope inference</t>
        </is>
      </c>
      <c r="I17" s="30" t="inlineStr">
        <is>
          <t>Out of scope for VendNet as currently implemented, or the requirement does not apply to this REST API/backend.</t>
        </is>
      </c>
      <c r="J17" s="30" t="inlineStr">
        <is>
          <t>Scope inference</t>
        </is>
      </c>
      <c r="K17" s="30" t="inlineStr">
        <is>
          <t>Not required for current backend scope.</t>
        </is>
      </c>
      <c r="L17" s="30" t="inlineStr">
        <is>
          <t>No OAuth/OIDC client, authorization server, or federated login flow is implemented.</t>
        </is>
      </c>
      <c r="M17" s="30" t="inlineStr">
        <is>
          <t>Revisit if the application scope changes.</t>
        </is>
      </c>
    </row>
    <row r="18" ht="30" customHeight="1" s="26">
      <c r="A18" s="34" t="inlineStr">
        <is>
          <t>V10.4</t>
        </is>
      </c>
      <c r="B18" s="34" t="inlineStr">
        <is>
          <t>OAuth Authorization Server</t>
        </is>
      </c>
      <c r="C18" s="34" t="inlineStr">
        <is>
          <t>V10.4.3</t>
        </is>
      </c>
      <c r="D18" s="34" t="inlineStr">
        <is>
          <t>Verify that the authorization code is short-lived. The maximum lifetime can be up to 10 minutes for L1 and L2 applications and up to 1 minute for L3 applications.</t>
        </is>
      </c>
      <c r="E18" s="38" t="n">
        <v>1</v>
      </c>
      <c r="F18" s="39" t="inlineStr">
        <is>
          <t>N/A</t>
        </is>
      </c>
      <c r="G18" s="34" t="inlineStr">
        <is>
          <t>Automatically marked out of scope: No OAuth/OIDC client, authorization server, or federated login flow is implemented.</t>
        </is>
      </c>
      <c r="H18" s="34" t="inlineStr">
        <is>
          <t>Automated scope inference</t>
        </is>
      </c>
      <c r="I18" s="30" t="inlineStr">
        <is>
          <t>Out of scope for VendNet as currently implemented, or the requirement does not apply to this REST API/backend.</t>
        </is>
      </c>
      <c r="J18" s="30" t="inlineStr">
        <is>
          <t>Scope inference</t>
        </is>
      </c>
      <c r="K18" s="30" t="inlineStr">
        <is>
          <t>Not required for current backend scope.</t>
        </is>
      </c>
      <c r="L18" s="30" t="inlineStr">
        <is>
          <t>No OAuth/OIDC client, authorization server, or federated login flow is implemented.</t>
        </is>
      </c>
      <c r="M18" s="30" t="inlineStr">
        <is>
          <t>Revisit if the application scope changes.</t>
        </is>
      </c>
    </row>
    <row r="19" ht="30" customHeight="1" s="26">
      <c r="A19" s="37" t="inlineStr">
        <is>
          <t>V10.4</t>
        </is>
      </c>
      <c r="B19" s="37" t="inlineStr">
        <is>
          <t>OAuth Authorization Server</t>
        </is>
      </c>
      <c r="C19" s="37" t="inlineStr">
        <is>
          <t>V10.4.4</t>
        </is>
      </c>
      <c r="D19" s="37" t="inlineStr">
        <is>
          <t>Verify that for a given client, the authorization server only allows the usage of grants that this client needs to use. Note that the grants 'token' (Implicit flow) and 'password' (Resource Owner Password Credentials flow) must no longer be used.</t>
        </is>
      </c>
      <c r="E19" s="38" t="n">
        <v>1</v>
      </c>
      <c r="F19" s="39" t="inlineStr">
        <is>
          <t>N/A</t>
        </is>
      </c>
      <c r="G19" s="37" t="inlineStr">
        <is>
          <t>Automatically marked out of scope: No OAuth/OIDC client, authorization server, or federated login flow is implemented.</t>
        </is>
      </c>
      <c r="H19" s="37" t="inlineStr">
        <is>
          <t>Automated scope inference</t>
        </is>
      </c>
      <c r="I19" s="30" t="inlineStr">
        <is>
          <t>Out of scope for VendNet as currently implemented, or the requirement does not apply to this REST API/backend.</t>
        </is>
      </c>
      <c r="J19" s="30" t="inlineStr">
        <is>
          <t>Scope inference</t>
        </is>
      </c>
      <c r="K19" s="30" t="inlineStr">
        <is>
          <t>Not required for current backend scope.</t>
        </is>
      </c>
      <c r="L19" s="30" t="inlineStr">
        <is>
          <t>No OAuth/OIDC client, authorization server, or federated login flow is implemented.</t>
        </is>
      </c>
      <c r="M19" s="30" t="inlineStr">
        <is>
          <t>Revisit if the application scope changes.</t>
        </is>
      </c>
    </row>
    <row r="20" ht="30" customHeight="1" s="26">
      <c r="A20" s="34" t="inlineStr">
        <is>
          <t>V10.4</t>
        </is>
      </c>
      <c r="B20" s="34" t="inlineStr">
        <is>
          <t>OAuth Authorization Server</t>
        </is>
      </c>
      <c r="C20" s="34" t="inlineStr">
        <is>
          <t>V10.4.5</t>
        </is>
      </c>
      <c r="D20" s="34"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38" t="n">
        <v>1</v>
      </c>
      <c r="F20" s="39" t="inlineStr">
        <is>
          <t>N/A</t>
        </is>
      </c>
      <c r="G20" s="34" t="inlineStr">
        <is>
          <t>Automatically marked out of scope: No OAuth/OIDC client, authorization server, or federated login flow is implemented.</t>
        </is>
      </c>
      <c r="H20" s="34" t="inlineStr">
        <is>
          <t>Automated scope inference</t>
        </is>
      </c>
      <c r="I20" s="30" t="inlineStr">
        <is>
          <t>Out of scope for VendNet as currently implemented, or the requirement does not apply to this REST API/backend.</t>
        </is>
      </c>
      <c r="J20" s="30" t="inlineStr">
        <is>
          <t>Scope inference</t>
        </is>
      </c>
      <c r="K20" s="30" t="inlineStr">
        <is>
          <t>Not required for current backend scope.</t>
        </is>
      </c>
      <c r="L20" s="30" t="inlineStr">
        <is>
          <t>No OAuth/OIDC client, authorization server, or federated login flow is implemented.</t>
        </is>
      </c>
      <c r="M20" s="30" t="inlineStr">
        <is>
          <t>Revisit if the application scope changes.</t>
        </is>
      </c>
    </row>
    <row r="21" ht="30" customHeight="1" s="26">
      <c r="A21" s="37" t="inlineStr">
        <is>
          <t>V10.4</t>
        </is>
      </c>
      <c r="B21" s="37" t="inlineStr">
        <is>
          <t>OAuth Authorization Server</t>
        </is>
      </c>
      <c r="C21" s="37" t="inlineStr">
        <is>
          <t>V10.4.6</t>
        </is>
      </c>
      <c r="D21" s="37"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35" t="n">
        <v>2</v>
      </c>
      <c r="F21" s="39" t="inlineStr">
        <is>
          <t>N/A</t>
        </is>
      </c>
      <c r="G21" s="37" t="inlineStr">
        <is>
          <t>Automatically marked out of scope: No OAuth/OIDC client, authorization server, or federated login flow is implemented.</t>
        </is>
      </c>
      <c r="H21" s="37" t="inlineStr">
        <is>
          <t>Automated scope inference</t>
        </is>
      </c>
      <c r="I21" s="30" t="inlineStr">
        <is>
          <t>Out of scope for VendNet as currently implemented, or the requirement does not apply to this REST API/backend.</t>
        </is>
      </c>
      <c r="J21" s="30" t="inlineStr">
        <is>
          <t>Scope inference</t>
        </is>
      </c>
      <c r="K21" s="30" t="inlineStr">
        <is>
          <t>Not required for current backend scope.</t>
        </is>
      </c>
      <c r="L21" s="30" t="inlineStr">
        <is>
          <t>No OAuth/OIDC client, authorization server, or federated login flow is implemented.</t>
        </is>
      </c>
      <c r="M21" s="30" t="inlineStr">
        <is>
          <t>Revisit if the application scope changes.</t>
        </is>
      </c>
    </row>
    <row r="22" ht="30" customHeight="1" s="26">
      <c r="A22" s="34" t="inlineStr">
        <is>
          <t>V10.4</t>
        </is>
      </c>
      <c r="B22" s="34" t="inlineStr">
        <is>
          <t>OAuth Authorization Server</t>
        </is>
      </c>
      <c r="C22" s="34" t="inlineStr">
        <is>
          <t>V10.4.7</t>
        </is>
      </c>
      <c r="D22" s="34"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35" t="n">
        <v>2</v>
      </c>
      <c r="F22" s="39" t="inlineStr">
        <is>
          <t>N/A</t>
        </is>
      </c>
      <c r="G22" s="34" t="inlineStr">
        <is>
          <t>Automatically marked out of scope: No OAuth/OIDC client, authorization server, or federated login flow is implemented.</t>
        </is>
      </c>
      <c r="H22" s="34" t="inlineStr">
        <is>
          <t>Automated scope inference</t>
        </is>
      </c>
      <c r="I22" s="30" t="inlineStr">
        <is>
          <t>Out of scope for VendNet as currently implemented, or the requirement does not apply to this REST API/backend.</t>
        </is>
      </c>
      <c r="J22" s="30" t="inlineStr">
        <is>
          <t>Scope inference</t>
        </is>
      </c>
      <c r="K22" s="30" t="inlineStr">
        <is>
          <t>Not required for current backend scope.</t>
        </is>
      </c>
      <c r="L22" s="30" t="inlineStr">
        <is>
          <t>No OAuth/OIDC client, authorization server, or federated login flow is implemented.</t>
        </is>
      </c>
      <c r="M22" s="30" t="inlineStr">
        <is>
          <t>Revisit if the application scope changes.</t>
        </is>
      </c>
    </row>
    <row r="23" ht="30" customHeight="1" s="26">
      <c r="A23" s="37" t="inlineStr">
        <is>
          <t>V10.4</t>
        </is>
      </c>
      <c r="B23" s="37" t="inlineStr">
        <is>
          <t>OAuth Authorization Server</t>
        </is>
      </c>
      <c r="C23" s="37" t="inlineStr">
        <is>
          <t>V10.4.8</t>
        </is>
      </c>
      <c r="D23" s="37" t="inlineStr">
        <is>
          <t>Verify that refresh tokens have an absolute expiration, including if sliding refresh token expiration is applied.</t>
        </is>
      </c>
      <c r="E23" s="35" t="n">
        <v>2</v>
      </c>
      <c r="F23" s="39" t="inlineStr">
        <is>
          <t>N/A</t>
        </is>
      </c>
      <c r="G23" s="37" t="inlineStr">
        <is>
          <t>Automatically marked out of scope: No OAuth/OIDC client, authorization server, or federated login flow is implemented.</t>
        </is>
      </c>
      <c r="H23" s="37" t="inlineStr">
        <is>
          <t>Automated scope inference</t>
        </is>
      </c>
      <c r="I23" s="30" t="inlineStr">
        <is>
          <t>Out of scope for VendNet as currently implemented, or the requirement does not apply to this REST API/backend.</t>
        </is>
      </c>
      <c r="J23" s="30" t="inlineStr">
        <is>
          <t>Scope inference</t>
        </is>
      </c>
      <c r="K23" s="30" t="inlineStr">
        <is>
          <t>Not required for current backend scope.</t>
        </is>
      </c>
      <c r="L23" s="30" t="inlineStr">
        <is>
          <t>No OAuth/OIDC client, authorization server, or federated login flow is implemented.</t>
        </is>
      </c>
      <c r="M23" s="30" t="inlineStr">
        <is>
          <t>Revisit if the application scope changes.</t>
        </is>
      </c>
    </row>
    <row r="24" ht="30" customHeight="1" s="26">
      <c r="A24" s="34" t="inlineStr">
        <is>
          <t>V10.4</t>
        </is>
      </c>
      <c r="B24" s="34" t="inlineStr">
        <is>
          <t>OAuth Authorization Server</t>
        </is>
      </c>
      <c r="C24" s="34" t="inlineStr">
        <is>
          <t>V10.4.9</t>
        </is>
      </c>
      <c r="D24" s="34" t="inlineStr">
        <is>
          <t>Verify that refresh tokens and reference access tokens can be revoked by an authorized user using the authorization server user interface, to mitigate the risk of malicious clients or stolen tokens.</t>
        </is>
      </c>
      <c r="E24" s="35" t="n">
        <v>2</v>
      </c>
      <c r="F24" s="39" t="inlineStr">
        <is>
          <t>N/A</t>
        </is>
      </c>
      <c r="G24" s="34" t="inlineStr">
        <is>
          <t>Automatically marked out of scope: No OAuth/OIDC client, authorization server, or federated login flow is implemented.</t>
        </is>
      </c>
      <c r="H24" s="34" t="inlineStr">
        <is>
          <t>Automated scope inference</t>
        </is>
      </c>
      <c r="I24" s="30" t="inlineStr">
        <is>
          <t>Out of scope for VendNet as currently implemented, or the requirement does not apply to this REST API/backend.</t>
        </is>
      </c>
      <c r="J24" s="30" t="inlineStr">
        <is>
          <t>Scope inference</t>
        </is>
      </c>
      <c r="K24" s="30" t="inlineStr">
        <is>
          <t>Not required for current backend scope.</t>
        </is>
      </c>
      <c r="L24" s="30" t="inlineStr">
        <is>
          <t>No OAuth/OIDC client, authorization server, or federated login flow is implemented.</t>
        </is>
      </c>
      <c r="M24" s="30" t="inlineStr">
        <is>
          <t>Revisit if the application scope changes.</t>
        </is>
      </c>
    </row>
    <row r="25" ht="30" customHeight="1" s="26">
      <c r="A25" s="37" t="inlineStr">
        <is>
          <t>V10.4</t>
        </is>
      </c>
      <c r="B25" s="37" t="inlineStr">
        <is>
          <t>OAuth Authorization Server</t>
        </is>
      </c>
      <c r="C25" s="37" t="inlineStr">
        <is>
          <t>V10.4.10</t>
        </is>
      </c>
      <c r="D25" s="37" t="inlineStr">
        <is>
          <t>Verify that confidential client is authenticated for client-to-authorized server backchannel requests such as token requests, pushed authorization requests (PAR), and token revocation requests.</t>
        </is>
      </c>
      <c r="E25" s="35" t="n">
        <v>2</v>
      </c>
      <c r="F25" s="39" t="inlineStr">
        <is>
          <t>N/A</t>
        </is>
      </c>
      <c r="G25" s="37" t="inlineStr">
        <is>
          <t>Automatically marked out of scope: No OAuth/OIDC client, authorization server, or federated login flow is implemented.</t>
        </is>
      </c>
      <c r="H25" s="37" t="inlineStr">
        <is>
          <t>Automated scope inference</t>
        </is>
      </c>
      <c r="I25" s="30" t="inlineStr">
        <is>
          <t>Out of scope for VendNet as currently implemented, or the requirement does not apply to this REST API/backend.</t>
        </is>
      </c>
      <c r="J25" s="30" t="inlineStr">
        <is>
          <t>Scope inference</t>
        </is>
      </c>
      <c r="K25" s="30" t="inlineStr">
        <is>
          <t>Not required for current backend scope.</t>
        </is>
      </c>
      <c r="L25" s="30" t="inlineStr">
        <is>
          <t>No OAuth/OIDC client, authorization server, or federated login flow is implemented.</t>
        </is>
      </c>
      <c r="M25" s="30" t="inlineStr">
        <is>
          <t>Revisit if the application scope changes.</t>
        </is>
      </c>
    </row>
    <row r="26" ht="30" customHeight="1" s="26">
      <c r="A26" s="34" t="inlineStr">
        <is>
          <t>V10.4</t>
        </is>
      </c>
      <c r="B26" s="34" t="inlineStr">
        <is>
          <t>OAuth Authorization Server</t>
        </is>
      </c>
      <c r="C26" s="34" t="inlineStr">
        <is>
          <t>V10.4.11</t>
        </is>
      </c>
      <c r="D26" s="34" t="inlineStr">
        <is>
          <t>Verify that the authorization server configuration only assigns the required scopes to the OAuth client.</t>
        </is>
      </c>
      <c r="E26" s="35" t="n">
        <v>2</v>
      </c>
      <c r="F26" s="39" t="inlineStr">
        <is>
          <t>N/A</t>
        </is>
      </c>
      <c r="G26" s="34" t="inlineStr">
        <is>
          <t>Automatically marked out of scope: No OAuth/OIDC client, authorization server, or federated login flow is implemented.</t>
        </is>
      </c>
      <c r="H26" s="34" t="inlineStr">
        <is>
          <t>Automated scope inference</t>
        </is>
      </c>
      <c r="I26" s="30" t="inlineStr">
        <is>
          <t>Out of scope for VendNet as currently implemented, or the requirement does not apply to this REST API/backend.</t>
        </is>
      </c>
      <c r="J26" s="30" t="inlineStr">
        <is>
          <t>Scope inference</t>
        </is>
      </c>
      <c r="K26" s="30" t="inlineStr">
        <is>
          <t>Not required for current backend scope.</t>
        </is>
      </c>
      <c r="L26" s="30" t="inlineStr">
        <is>
          <t>No OAuth/OIDC client, authorization server, or federated login flow is implemented.</t>
        </is>
      </c>
      <c r="M26" s="30" t="inlineStr">
        <is>
          <t>Revisit if the application scope changes.</t>
        </is>
      </c>
    </row>
    <row r="27" ht="30" customHeight="1" s="26">
      <c r="A27" s="37" t="inlineStr">
        <is>
          <t>V10.4</t>
        </is>
      </c>
      <c r="B27" s="37" t="inlineStr">
        <is>
          <t>OAuth Authorization Server</t>
        </is>
      </c>
      <c r="C27" s="37" t="inlineStr">
        <is>
          <t>V10.4.12</t>
        </is>
      </c>
      <c r="D27" s="37"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40" t="n">
        <v>3</v>
      </c>
      <c r="F27" s="39" t="inlineStr">
        <is>
          <t>N/A</t>
        </is>
      </c>
      <c r="G27" s="37" t="inlineStr">
        <is>
          <t>Automatically marked out of scope: No OAuth/OIDC client, authorization server, or federated login flow is implemented.</t>
        </is>
      </c>
      <c r="H27" s="37" t="inlineStr">
        <is>
          <t>Automated scope inference</t>
        </is>
      </c>
      <c r="I27" s="30" t="inlineStr">
        <is>
          <t>Out of scope for VendNet as currently implemented, or the requirement does not apply to this REST API/backend.</t>
        </is>
      </c>
      <c r="J27" s="30" t="inlineStr">
        <is>
          <t>Scope inference</t>
        </is>
      </c>
      <c r="K27" s="30" t="inlineStr">
        <is>
          <t>Not required for current backend scope.</t>
        </is>
      </c>
      <c r="L27" s="30" t="inlineStr">
        <is>
          <t>No OAuth/OIDC client, authorization server, or federated login flow is implemented.</t>
        </is>
      </c>
      <c r="M27" s="30" t="inlineStr">
        <is>
          <t>Revisit if the application scope changes.</t>
        </is>
      </c>
    </row>
    <row r="28" ht="30" customHeight="1" s="26">
      <c r="A28" s="34" t="inlineStr">
        <is>
          <t>V10.4</t>
        </is>
      </c>
      <c r="B28" s="34" t="inlineStr">
        <is>
          <t>OAuth Authorization Server</t>
        </is>
      </c>
      <c r="C28" s="34" t="inlineStr">
        <is>
          <t>V10.4.13</t>
        </is>
      </c>
      <c r="D28" s="34" t="inlineStr">
        <is>
          <t>Verify that grant type 'code' is always used together with pushed authorization requests (PAR).</t>
        </is>
      </c>
      <c r="E28" s="40" t="n">
        <v>3</v>
      </c>
      <c r="F28" s="39" t="inlineStr">
        <is>
          <t>N/A</t>
        </is>
      </c>
      <c r="G28" s="34" t="inlineStr">
        <is>
          <t>Automatically marked out of scope: No OAuth/OIDC client, authorization server, or federated login flow is implemented.</t>
        </is>
      </c>
      <c r="H28" s="34" t="inlineStr">
        <is>
          <t>Automated scope inference</t>
        </is>
      </c>
      <c r="I28" s="30" t="inlineStr">
        <is>
          <t>Out of scope for VendNet as currently implemented, or the requirement does not apply to this REST API/backend.</t>
        </is>
      </c>
      <c r="J28" s="30" t="inlineStr">
        <is>
          <t>Scope inference</t>
        </is>
      </c>
      <c r="K28" s="30" t="inlineStr">
        <is>
          <t>Not required for current backend scope.</t>
        </is>
      </c>
      <c r="L28" s="30" t="inlineStr">
        <is>
          <t>No OAuth/OIDC client, authorization server, or federated login flow is implemented.</t>
        </is>
      </c>
      <c r="M28" s="30" t="inlineStr">
        <is>
          <t>Revisit if the application scope changes.</t>
        </is>
      </c>
    </row>
    <row r="29" ht="30" customHeight="1" s="26">
      <c r="A29" s="37" t="inlineStr">
        <is>
          <t>V10.4</t>
        </is>
      </c>
      <c r="B29" s="37" t="inlineStr">
        <is>
          <t>OAuth Authorization Server</t>
        </is>
      </c>
      <c r="C29" s="37" t="inlineStr">
        <is>
          <t>V10.4.14</t>
        </is>
      </c>
      <c r="D29" s="37" t="inlineStr">
        <is>
          <t>Verify that the authorization server issues only sender-constrained (Proof-of-Possession) access tokens, either with certificate-bound access tokens using mutual TLS (mTLS) or DPoP-bound access tokens (Demonstration of Proof of Possession).</t>
        </is>
      </c>
      <c r="E29" s="40" t="n">
        <v>3</v>
      </c>
      <c r="F29" s="39" t="inlineStr">
        <is>
          <t>N/A</t>
        </is>
      </c>
      <c r="G29" s="37" t="inlineStr">
        <is>
          <t>Automatically marked out of scope: No OAuth/OIDC client, authorization server, or federated login flow is implemented.</t>
        </is>
      </c>
      <c r="H29" s="37" t="inlineStr">
        <is>
          <t>Automated scope inference</t>
        </is>
      </c>
      <c r="I29" s="30" t="inlineStr">
        <is>
          <t>Out of scope for VendNet as currently implemented, or the requirement does not apply to this REST API/backend.</t>
        </is>
      </c>
      <c r="J29" s="30" t="inlineStr">
        <is>
          <t>Scope inference</t>
        </is>
      </c>
      <c r="K29" s="30" t="inlineStr">
        <is>
          <t>Not required for current backend scope.</t>
        </is>
      </c>
      <c r="L29" s="30" t="inlineStr">
        <is>
          <t>No OAuth/OIDC client, authorization server, or federated login flow is implemented.</t>
        </is>
      </c>
      <c r="M29" s="30" t="inlineStr">
        <is>
          <t>Revisit if the application scope changes.</t>
        </is>
      </c>
    </row>
    <row r="30" ht="30" customHeight="1" s="26">
      <c r="A30" s="34" t="inlineStr">
        <is>
          <t>V10.4</t>
        </is>
      </c>
      <c r="B30" s="34" t="inlineStr">
        <is>
          <t>OAuth Authorization Server</t>
        </is>
      </c>
      <c r="C30" s="34" t="inlineStr">
        <is>
          <t>V10.4.15</t>
        </is>
      </c>
      <c r="D30" s="34"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40" t="n">
        <v>3</v>
      </c>
      <c r="F30" s="39" t="inlineStr">
        <is>
          <t>N/A</t>
        </is>
      </c>
      <c r="G30" s="34" t="inlineStr">
        <is>
          <t>Automatically marked out of scope: No OAuth/OIDC client, authorization server, or federated login flow is implemented.</t>
        </is>
      </c>
      <c r="H30" s="34" t="inlineStr">
        <is>
          <t>Automated scope inference</t>
        </is>
      </c>
      <c r="I30" s="30" t="inlineStr">
        <is>
          <t>Out of scope for VendNet as currently implemented, or the requirement does not apply to this REST API/backend.</t>
        </is>
      </c>
      <c r="J30" s="30" t="inlineStr">
        <is>
          <t>Scope inference</t>
        </is>
      </c>
      <c r="K30" s="30" t="inlineStr">
        <is>
          <t>Not required for current backend scope.</t>
        </is>
      </c>
      <c r="L30" s="30" t="inlineStr">
        <is>
          <t>No OAuth/OIDC client, authorization server, or federated login flow is implemented.</t>
        </is>
      </c>
      <c r="M30" s="30" t="inlineStr">
        <is>
          <t>Revisit if the application scope changes.</t>
        </is>
      </c>
    </row>
    <row r="31" ht="30" customHeight="1" s="26">
      <c r="A31" s="37" t="inlineStr">
        <is>
          <t>V10.4</t>
        </is>
      </c>
      <c r="B31" s="37" t="inlineStr">
        <is>
          <t>OAuth Authorization Server</t>
        </is>
      </c>
      <c r="C31" s="37" t="inlineStr">
        <is>
          <t>V10.4.16</t>
        </is>
      </c>
      <c r="D31" s="37"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40" t="n">
        <v>3</v>
      </c>
      <c r="F31" s="39" t="inlineStr">
        <is>
          <t>N/A</t>
        </is>
      </c>
      <c r="G31" s="37" t="inlineStr">
        <is>
          <t>Automatically marked out of scope: No OAuth/OIDC client, authorization server, or federated login flow is implemented.</t>
        </is>
      </c>
      <c r="H31" s="37" t="inlineStr">
        <is>
          <t>Automated scope inference</t>
        </is>
      </c>
      <c r="I31" s="30" t="inlineStr">
        <is>
          <t>Out of scope for VendNet as currently implemented, or the requirement does not apply to this REST API/backend.</t>
        </is>
      </c>
      <c r="J31" s="30" t="inlineStr">
        <is>
          <t>Scope inference</t>
        </is>
      </c>
      <c r="K31" s="30" t="inlineStr">
        <is>
          <t>Not required for current backend scope.</t>
        </is>
      </c>
      <c r="L31" s="30" t="inlineStr">
        <is>
          <t>No OAuth/OIDC client, authorization server, or federated login flow is implemented.</t>
        </is>
      </c>
      <c r="M31" s="30" t="inlineStr">
        <is>
          <t>Revisit if the application scope changes.</t>
        </is>
      </c>
    </row>
    <row r="32" ht="18" customHeight="1" s="26">
      <c r="A32" s="33" t="inlineStr">
        <is>
          <t>V10.5</t>
        </is>
      </c>
      <c r="B32" s="33" t="inlineStr">
        <is>
          <t>OIDC Client</t>
        </is>
      </c>
      <c r="C32" s="33" t="n"/>
      <c r="D32" s="33" t="n"/>
      <c r="E32" s="33" t="n"/>
      <c r="F32" s="33" t="n"/>
      <c r="G32" s="33" t="n"/>
      <c r="H32" s="33" t="n"/>
      <c r="I32" s="30" t="n"/>
      <c r="J32" s="30" t="n"/>
      <c r="K32" s="30" t="n"/>
      <c r="L32" s="30" t="n"/>
      <c r="M32" s="30" t="n"/>
    </row>
    <row r="33" ht="30" customHeight="1" s="26">
      <c r="A33" s="34" t="inlineStr">
        <is>
          <t>V10.5</t>
        </is>
      </c>
      <c r="B33" s="34" t="inlineStr">
        <is>
          <t>OIDC Client</t>
        </is>
      </c>
      <c r="C33" s="34" t="inlineStr">
        <is>
          <t>V10.5.1</t>
        </is>
      </c>
      <c r="D33" s="34"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35" t="n">
        <v>2</v>
      </c>
      <c r="F33" s="39" t="inlineStr">
        <is>
          <t>N/A</t>
        </is>
      </c>
      <c r="G33" s="34" t="inlineStr">
        <is>
          <t>Automatically marked out of scope: No OAuth/OIDC client, authorization server, or federated login flow is implemented.</t>
        </is>
      </c>
      <c r="H33" s="34" t="inlineStr">
        <is>
          <t>Automated scope inference</t>
        </is>
      </c>
      <c r="I33" s="30" t="inlineStr">
        <is>
          <t>Out of scope for VendNet as currently implemented, or the requirement does not apply to this REST API/backend.</t>
        </is>
      </c>
      <c r="J33" s="30" t="inlineStr">
        <is>
          <t>Scope inference</t>
        </is>
      </c>
      <c r="K33" s="30" t="inlineStr">
        <is>
          <t>Not required for current backend scope.</t>
        </is>
      </c>
      <c r="L33" s="30" t="inlineStr">
        <is>
          <t>No OAuth/OIDC client, authorization server, or federated login flow is implemented.</t>
        </is>
      </c>
      <c r="M33" s="30" t="inlineStr">
        <is>
          <t>Revisit if the application scope changes.</t>
        </is>
      </c>
    </row>
    <row r="34" ht="30" customHeight="1" s="26">
      <c r="A34" s="37" t="inlineStr">
        <is>
          <t>V10.5</t>
        </is>
      </c>
      <c r="B34" s="37" t="inlineStr">
        <is>
          <t>OIDC Client</t>
        </is>
      </c>
      <c r="C34" s="37" t="inlineStr">
        <is>
          <t>V10.5.2</t>
        </is>
      </c>
      <c r="D34" s="37" t="inlineStr">
        <is>
          <t>Verify that the client uniquely identifies the user from ID Token claims, usually the 'sub' claim, which cannot be reassigned to other users (for the scope of an identity provider).</t>
        </is>
      </c>
      <c r="E34" s="35" t="n">
        <v>2</v>
      </c>
      <c r="F34" s="39" t="inlineStr">
        <is>
          <t>N/A</t>
        </is>
      </c>
      <c r="G34" s="37" t="inlineStr">
        <is>
          <t>Automatically marked out of scope: No OAuth/OIDC client, authorization server, or federated login flow is implemented.</t>
        </is>
      </c>
      <c r="H34" s="37" t="inlineStr">
        <is>
          <t>Automated scope inference</t>
        </is>
      </c>
      <c r="I34" s="30" t="inlineStr">
        <is>
          <t>Out of scope for VendNet as currently implemented, or the requirement does not apply to this REST API/backend.</t>
        </is>
      </c>
      <c r="J34" s="30" t="inlineStr">
        <is>
          <t>Scope inference</t>
        </is>
      </c>
      <c r="K34" s="30" t="inlineStr">
        <is>
          <t>Not required for current backend scope.</t>
        </is>
      </c>
      <c r="L34" s="30" t="inlineStr">
        <is>
          <t>No OAuth/OIDC client, authorization server, or federated login flow is implemented.</t>
        </is>
      </c>
      <c r="M34" s="30" t="inlineStr">
        <is>
          <t>Revisit if the application scope changes.</t>
        </is>
      </c>
    </row>
    <row r="35" ht="30" customHeight="1" s="26">
      <c r="A35" s="34" t="inlineStr">
        <is>
          <t>V10.5</t>
        </is>
      </c>
      <c r="B35" s="34" t="inlineStr">
        <is>
          <t>OIDC Client</t>
        </is>
      </c>
      <c r="C35" s="34" t="inlineStr">
        <is>
          <t>V10.5.3</t>
        </is>
      </c>
      <c r="D35" s="34"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35" t="n">
        <v>2</v>
      </c>
      <c r="F35" s="39" t="inlineStr">
        <is>
          <t>N/A</t>
        </is>
      </c>
      <c r="G35" s="34" t="inlineStr">
        <is>
          <t>Automatically marked out of scope: No OAuth/OIDC client, authorization server, or federated login flow is implemented.</t>
        </is>
      </c>
      <c r="H35" s="34" t="inlineStr">
        <is>
          <t>Automated scope inference</t>
        </is>
      </c>
      <c r="I35" s="30" t="inlineStr">
        <is>
          <t>Out of scope for VendNet as currently implemented, or the requirement does not apply to this REST API/backend.</t>
        </is>
      </c>
      <c r="J35" s="30" t="inlineStr">
        <is>
          <t>Scope inference</t>
        </is>
      </c>
      <c r="K35" s="30" t="inlineStr">
        <is>
          <t>Not required for current backend scope.</t>
        </is>
      </c>
      <c r="L35" s="30" t="inlineStr">
        <is>
          <t>No OAuth/OIDC client, authorization server, or federated login flow is implemented.</t>
        </is>
      </c>
      <c r="M35" s="30" t="inlineStr">
        <is>
          <t>Revisit if the application scope changes.</t>
        </is>
      </c>
    </row>
    <row r="36" ht="30" customHeight="1" s="26">
      <c r="A36" s="37" t="inlineStr">
        <is>
          <t>V10.5</t>
        </is>
      </c>
      <c r="B36" s="37" t="inlineStr">
        <is>
          <t>OIDC Client</t>
        </is>
      </c>
      <c r="C36" s="37" t="inlineStr">
        <is>
          <t>V10.5.4</t>
        </is>
      </c>
      <c r="D36" s="37" t="inlineStr">
        <is>
          <t>Verify that the client validates that the ID Token is intended to be used for that client (audience) by checking that the 'aud' claim from the token is equal to the 'client_id' value for the client.</t>
        </is>
      </c>
      <c r="E36" s="35" t="n">
        <v>2</v>
      </c>
      <c r="F36" s="39" t="inlineStr">
        <is>
          <t>N/A</t>
        </is>
      </c>
      <c r="G36" s="37" t="inlineStr">
        <is>
          <t>Automatically marked out of scope: No OAuth/OIDC client, authorization server, or federated login flow is implemented.</t>
        </is>
      </c>
      <c r="H36" s="37" t="inlineStr">
        <is>
          <t>Automated scope inference</t>
        </is>
      </c>
      <c r="I36" s="30" t="inlineStr">
        <is>
          <t>Out of scope for VendNet as currently implemented, or the requirement does not apply to this REST API/backend.</t>
        </is>
      </c>
      <c r="J36" s="30" t="inlineStr">
        <is>
          <t>Scope inference</t>
        </is>
      </c>
      <c r="K36" s="30" t="inlineStr">
        <is>
          <t>Not required for current backend scope.</t>
        </is>
      </c>
      <c r="L36" s="30" t="inlineStr">
        <is>
          <t>No OAuth/OIDC client, authorization server, or federated login flow is implemented.</t>
        </is>
      </c>
      <c r="M36" s="30" t="inlineStr">
        <is>
          <t>Revisit if the application scope changes.</t>
        </is>
      </c>
    </row>
    <row r="37" ht="30" customHeight="1" s="26">
      <c r="A37" s="34" t="inlineStr">
        <is>
          <t>V10.5</t>
        </is>
      </c>
      <c r="B37" s="34" t="inlineStr">
        <is>
          <t>OIDC Client</t>
        </is>
      </c>
      <c r="C37" s="34" t="inlineStr">
        <is>
          <t>V10.5.5</t>
        </is>
      </c>
      <c r="D37" s="34"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35" t="n">
        <v>2</v>
      </c>
      <c r="F37" s="39" t="inlineStr">
        <is>
          <t>N/A</t>
        </is>
      </c>
      <c r="G37" s="34" t="inlineStr">
        <is>
          <t>Automatically marked out of scope: No OAuth/OIDC client, authorization server, or federated login flow is implemented.</t>
        </is>
      </c>
      <c r="H37" s="34" t="inlineStr">
        <is>
          <t>Automated scope inference</t>
        </is>
      </c>
      <c r="I37" s="30" t="inlineStr">
        <is>
          <t>Out of scope for VendNet as currently implemented, or the requirement does not apply to this REST API/backend.</t>
        </is>
      </c>
      <c r="J37" s="30" t="inlineStr">
        <is>
          <t>Scope inference</t>
        </is>
      </c>
      <c r="K37" s="30" t="inlineStr">
        <is>
          <t>Not required for current backend scope.</t>
        </is>
      </c>
      <c r="L37" s="30" t="inlineStr">
        <is>
          <t>No OAuth/OIDC client, authorization server, or federated login flow is implemented.</t>
        </is>
      </c>
      <c r="M37" s="30" t="inlineStr">
        <is>
          <t>Revisit if the application scope changes.</t>
        </is>
      </c>
    </row>
    <row r="38" ht="18" customHeight="1" s="26">
      <c r="A38" s="33" t="inlineStr">
        <is>
          <t>V10.6</t>
        </is>
      </c>
      <c r="B38" s="33" t="inlineStr">
        <is>
          <t>OpenID Provider</t>
        </is>
      </c>
      <c r="C38" s="33" t="n"/>
      <c r="D38" s="33" t="n"/>
      <c r="E38" s="33" t="n"/>
      <c r="F38" s="33" t="n"/>
      <c r="G38" s="33" t="n"/>
      <c r="H38" s="33" t="n"/>
      <c r="I38" s="30" t="n"/>
      <c r="J38" s="30" t="n"/>
      <c r="K38" s="30" t="n"/>
      <c r="L38" s="30" t="n"/>
      <c r="M38" s="30" t="n"/>
    </row>
    <row r="39" ht="30" customHeight="1" s="26">
      <c r="A39" s="34" t="inlineStr">
        <is>
          <t>V10.6</t>
        </is>
      </c>
      <c r="B39" s="34" t="inlineStr">
        <is>
          <t>OpenID Provider</t>
        </is>
      </c>
      <c r="C39" s="34" t="inlineStr">
        <is>
          <t>V10.6.1</t>
        </is>
      </c>
      <c r="D39" s="34" t="inlineStr">
        <is>
          <t>Verify that the OpenID Provider only allows values 'code', 'ciba', 'id_token', or 'id_token code' for response mode. Note that 'code' is preferred over 'id_token code' (the OIDC Hybrid flow), and 'token' (any Implicit flow) must not be used.</t>
        </is>
      </c>
      <c r="E39" s="35" t="n">
        <v>2</v>
      </c>
      <c r="F39" s="39" t="inlineStr">
        <is>
          <t>N/A</t>
        </is>
      </c>
      <c r="G39" s="34" t="inlineStr">
        <is>
          <t>Automatically marked out of scope: No OAuth/OIDC client, authorization server, or federated login flow is implemented.</t>
        </is>
      </c>
      <c r="H39" s="34" t="inlineStr">
        <is>
          <t>Automated scope inference</t>
        </is>
      </c>
      <c r="I39" s="30" t="inlineStr">
        <is>
          <t>Out of scope for VendNet as currently implemented, or the requirement does not apply to this REST API/backend.</t>
        </is>
      </c>
      <c r="J39" s="30" t="inlineStr">
        <is>
          <t>Scope inference</t>
        </is>
      </c>
      <c r="K39" s="30" t="inlineStr">
        <is>
          <t>Not required for current backend scope.</t>
        </is>
      </c>
      <c r="L39" s="30" t="inlineStr">
        <is>
          <t>No OAuth/OIDC client, authorization server, or federated login flow is implemented.</t>
        </is>
      </c>
      <c r="M39" s="30" t="inlineStr">
        <is>
          <t>Revisit if the application scope changes.</t>
        </is>
      </c>
    </row>
    <row r="40" ht="30" customHeight="1" s="26">
      <c r="A40" s="37" t="inlineStr">
        <is>
          <t>V10.6</t>
        </is>
      </c>
      <c r="B40" s="37" t="inlineStr">
        <is>
          <t>OpenID Provider</t>
        </is>
      </c>
      <c r="C40" s="37" t="inlineStr">
        <is>
          <t>V10.6.2</t>
        </is>
      </c>
      <c r="D40" s="37" t="inlineStr">
        <is>
          <t>Verify that the OpenID Provider mitigates denial of service through forced logout. By obtaining explicit confirmation from the end-user or, if present, validating parameters in the logout request (initiated by the relying party), such as the 'id_token_hint'.</t>
        </is>
      </c>
      <c r="E40" s="35" t="n">
        <v>2</v>
      </c>
      <c r="F40" s="39" t="inlineStr">
        <is>
          <t>N/A</t>
        </is>
      </c>
      <c r="G40" s="37" t="inlineStr">
        <is>
          <t>Automatically marked out of scope: No OAuth/OIDC client, authorization server, or federated login flow is implemented.</t>
        </is>
      </c>
      <c r="H40" s="37" t="inlineStr">
        <is>
          <t>Automated scope inference</t>
        </is>
      </c>
      <c r="I40" s="30" t="inlineStr">
        <is>
          <t>Out of scope for VendNet as currently implemented, or the requirement does not apply to this REST API/backend.</t>
        </is>
      </c>
      <c r="J40" s="30" t="inlineStr">
        <is>
          <t>Scope inference</t>
        </is>
      </c>
      <c r="K40" s="30" t="inlineStr">
        <is>
          <t>Not required for current backend scope.</t>
        </is>
      </c>
      <c r="L40" s="30" t="inlineStr">
        <is>
          <t>No OAuth/OIDC client, authorization server, or federated login flow is implemented.</t>
        </is>
      </c>
      <c r="M40" s="30" t="inlineStr">
        <is>
          <t>Revisit if the application scope changes.</t>
        </is>
      </c>
    </row>
    <row r="41" ht="18" customHeight="1" s="26">
      <c r="A41" s="33" t="inlineStr">
        <is>
          <t>V10.7</t>
        </is>
      </c>
      <c r="B41" s="33" t="inlineStr">
        <is>
          <t>Consent Management</t>
        </is>
      </c>
      <c r="C41" s="33" t="n"/>
      <c r="D41" s="33" t="n"/>
      <c r="E41" s="33" t="n"/>
      <c r="F41" s="33" t="n"/>
      <c r="G41" s="33" t="n"/>
      <c r="H41" s="33" t="n"/>
      <c r="I41" s="30" t="n"/>
      <c r="J41" s="30" t="n"/>
      <c r="K41" s="30" t="n"/>
      <c r="L41" s="30" t="n"/>
      <c r="M41" s="30" t="n"/>
    </row>
    <row r="42" ht="30" customHeight="1" s="26">
      <c r="A42" s="34" t="inlineStr">
        <is>
          <t>V10.7</t>
        </is>
      </c>
      <c r="B42" s="34" t="inlineStr">
        <is>
          <t>Consent Management</t>
        </is>
      </c>
      <c r="C42" s="34" t="inlineStr">
        <is>
          <t>V10.7.1</t>
        </is>
      </c>
      <c r="D42" s="34" t="inlineStr">
        <is>
          <t>Verify that the authorization server ensures that the user consents to each authorization request. If the identity of the client cannot be assured, the authorization server must always explicitly prompt the user for consent.</t>
        </is>
      </c>
      <c r="E42" s="35" t="n">
        <v>2</v>
      </c>
      <c r="F42" s="39" t="inlineStr">
        <is>
          <t>N/A</t>
        </is>
      </c>
      <c r="G42" s="34" t="inlineStr">
        <is>
          <t>Automatically marked out of scope: No OAuth/OIDC client, authorization server, or federated login flow is implemented.</t>
        </is>
      </c>
      <c r="H42" s="34" t="inlineStr">
        <is>
          <t>Automated scope inference</t>
        </is>
      </c>
      <c r="I42" s="30" t="inlineStr">
        <is>
          <t>Out of scope for VendNet as currently implemented, or the requirement does not apply to this REST API/backend.</t>
        </is>
      </c>
      <c r="J42" s="30" t="inlineStr">
        <is>
          <t>Scope inference</t>
        </is>
      </c>
      <c r="K42" s="30" t="inlineStr">
        <is>
          <t>Not required for current backend scope.</t>
        </is>
      </c>
      <c r="L42" s="30" t="inlineStr">
        <is>
          <t>No OAuth/OIDC client, authorization server, or federated login flow is implemented.</t>
        </is>
      </c>
      <c r="M42" s="30" t="inlineStr">
        <is>
          <t>Revisit if the application scope changes.</t>
        </is>
      </c>
    </row>
    <row r="43" ht="30" customHeight="1" s="26">
      <c r="A43" s="37" t="inlineStr">
        <is>
          <t>V10.7</t>
        </is>
      </c>
      <c r="B43" s="37" t="inlineStr">
        <is>
          <t>Consent Management</t>
        </is>
      </c>
      <c r="C43" s="37" t="inlineStr">
        <is>
          <t>V10.7.2</t>
        </is>
      </c>
      <c r="D43" s="37"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35" t="n">
        <v>2</v>
      </c>
      <c r="F43" s="39" t="inlineStr">
        <is>
          <t>N/A</t>
        </is>
      </c>
      <c r="G43" s="37" t="inlineStr">
        <is>
          <t>Automatically marked out of scope: No OAuth/OIDC client, authorization server, or federated login flow is implemented.</t>
        </is>
      </c>
      <c r="H43" s="37" t="inlineStr">
        <is>
          <t>Automated scope inference</t>
        </is>
      </c>
      <c r="I43" s="30" t="inlineStr">
        <is>
          <t>Out of scope for VendNet as currently implemented, or the requirement does not apply to this REST API/backend.</t>
        </is>
      </c>
      <c r="J43" s="30" t="inlineStr">
        <is>
          <t>Scope inference</t>
        </is>
      </c>
      <c r="K43" s="30" t="inlineStr">
        <is>
          <t>Not required for current backend scope.</t>
        </is>
      </c>
      <c r="L43" s="30" t="inlineStr">
        <is>
          <t>No OAuth/OIDC client, authorization server, or federated login flow is implemented.</t>
        </is>
      </c>
      <c r="M43" s="30" t="inlineStr">
        <is>
          <t>Revisit if the application scope changes.</t>
        </is>
      </c>
    </row>
    <row r="44" ht="30" customHeight="1" s="26">
      <c r="A44" s="34" t="inlineStr">
        <is>
          <t>V10.7</t>
        </is>
      </c>
      <c r="B44" s="34" t="inlineStr">
        <is>
          <t>Consent Management</t>
        </is>
      </c>
      <c r="C44" s="34" t="inlineStr">
        <is>
          <t>V10.7.3</t>
        </is>
      </c>
      <c r="D44" s="34" t="inlineStr">
        <is>
          <t>Verify that the user can review, modify, and revoke consents which the user has granted through the authorization server.</t>
        </is>
      </c>
      <c r="E44" s="35" t="n">
        <v>2</v>
      </c>
      <c r="F44" s="39" t="inlineStr">
        <is>
          <t>N/A</t>
        </is>
      </c>
      <c r="G44" s="34" t="inlineStr">
        <is>
          <t>Automatically marked out of scope: No OAuth/OIDC client, authorization server, or federated login flow is implemented.</t>
        </is>
      </c>
      <c r="H44" s="34" t="inlineStr">
        <is>
          <t>Automated scope inference</t>
        </is>
      </c>
      <c r="I44" s="30" t="inlineStr">
        <is>
          <t>Out of scope for VendNet as currently implemented, or the requirement does not apply to this REST API/backend.</t>
        </is>
      </c>
      <c r="J44" s="30" t="inlineStr">
        <is>
          <t>Scope inference</t>
        </is>
      </c>
      <c r="K44" s="30" t="inlineStr">
        <is>
          <t>Not required for current backend scope.</t>
        </is>
      </c>
      <c r="L44" s="30" t="inlineStr">
        <is>
          <t>No OAuth/OIDC client, authorization server, or federated login flow is implemented.</t>
        </is>
      </c>
      <c r="M44" s="30" t="inlineStr">
        <is>
          <t>Revisit if the application scope changes.</t>
        </is>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3.xml><?xml version="1.0" encoding="utf-8"?>
<worksheet xmlns="http://schemas.openxmlformats.org/spreadsheetml/2006/main">
  <sheetPr>
    <outlinePr summaryBelow="1" summaryRight="1"/>
    <pageSetUpPr/>
  </sheetPr>
  <dimension ref="A1:M32"/>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V11.1</t>
        </is>
      </c>
      <c r="B2" s="33" t="inlineStr">
        <is>
          <t>Cryptographic Inventory and Documentation</t>
        </is>
      </c>
      <c r="C2" s="33" t="n"/>
      <c r="D2" s="33" t="n"/>
      <c r="E2" s="33" t="n"/>
      <c r="F2" s="33" t="n"/>
      <c r="G2" s="33" t="n"/>
      <c r="H2" s="33" t="n"/>
      <c r="I2" s="30" t="n"/>
      <c r="J2" s="30" t="n"/>
      <c r="K2" s="30" t="n"/>
      <c r="L2" s="30" t="n"/>
      <c r="M2" s="30" t="n"/>
    </row>
    <row r="3" ht="30" customHeight="1" s="26">
      <c r="A3" s="34" t="inlineStr">
        <is>
          <t>V11.1</t>
        </is>
      </c>
      <c r="B3" s="34" t="inlineStr">
        <is>
          <t>Cryptographic Inventory and Documentation</t>
        </is>
      </c>
      <c r="C3" s="34" t="inlineStr">
        <is>
          <t>V11.1.1</t>
        </is>
      </c>
      <c r="D3" s="34"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35" t="n">
        <v>2</v>
      </c>
      <c r="F3" s="36" t="inlineStr">
        <is>
          <t>Compliant</t>
        </is>
      </c>
      <c r="G3" s="34" t="inlineStr">
        <is>
          <t>Automatically marked compliant from passing evidence: JWT key strength and server-side signing; secrets externalized through configuration; pinned dependency rules.</t>
        </is>
      </c>
      <c r="H3" s="34" t="inlineStr">
        <is>
          <t>SR-04; SR-20; SR-11; SR-34; JwtServiceTest; JwtAuthenticationFilterTest; GitHub Actions secret scan; application-prod.properties; Maven Enforcer; pom.xml; JWT service and signing/filter code detected; SCA/SBOM/enforcer configuration detected; CI secret/security scanning configuration detected</t>
        </is>
      </c>
      <c r="I3" s="30" t="inlineStr">
        <is>
          <t>Automatically inferred as implemented or justified from passing tests, source code, configuration, or build artifacts.</t>
        </is>
      </c>
      <c r="J3" s="30" t="inlineStr">
        <is>
          <t>Automated repository evidence</t>
        </is>
      </c>
      <c r="K3" s="30" t="inlineStr">
        <is>
          <t>JwtServiceTest; JwtAuthenticationFilterTest; GitHub Actions secret scan; application-prod.properties; Maven Enforcer; pom.xml; JWT service and signing/filter code detected; SCA/SBOM/enforcer configuration detected; CI secret/security scanning configuration detected</t>
        </is>
      </c>
      <c r="L3" s="30" t="inlineStr">
        <is>
          <t>JWT key strength and server-side signing; secrets externalized through configuration; pinned dependency rules</t>
        </is>
      </c>
      <c r="M3" s="30" t="inlineStr">
        <is>
          <t>Keep make asvs-tracker passing; reassess if code, tests, or scope changes.</t>
        </is>
      </c>
    </row>
    <row r="4" ht="30" customHeight="1" s="26">
      <c r="A4" s="37" t="inlineStr">
        <is>
          <t>V11.1</t>
        </is>
      </c>
      <c r="B4" s="37" t="inlineStr">
        <is>
          <t>Cryptographic Inventory and Documentation</t>
        </is>
      </c>
      <c r="C4" s="37" t="inlineStr">
        <is>
          <t>V11.1.2</t>
        </is>
      </c>
      <c r="D4" s="37"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35" t="n">
        <v>2</v>
      </c>
      <c r="F4" s="36" t="inlineStr">
        <is>
          <t>Compliant</t>
        </is>
      </c>
      <c r="G4" s="37" t="inlineStr">
        <is>
          <t>Automatically marked compliant from passing evidence: JWT key strength and server-side signing; machine mTLS authentication paths; payment webhook HMAC validation; TLS configuration.</t>
        </is>
      </c>
      <c r="H4" s="37" t="inlineStr">
        <is>
          <t>SR-04; SR-18; SR-19; SR-17; JwtServiceTest; JwtAuthenticationFilterTest; X509MachineAuthenticationFilterTest; TelemetryServiceTest; AbuseCaseRegressionTest; PaymentGatewayServiceImplTest; application-prod.properties; JWT service and signing/filter code detected; HMAC webhook validation code detected; X.509/mTLS machine authentication code detected</t>
        </is>
      </c>
      <c r="I4" s="30" t="inlineStr">
        <is>
          <t>Automatically inferred as implemented or justified from passing tests, source code, configuration, or build artifacts.</t>
        </is>
      </c>
      <c r="J4" s="30" t="inlineStr">
        <is>
          <t>Automated repository evidence</t>
        </is>
      </c>
      <c r="K4" s="30" t="inlineStr">
        <is>
          <t>JwtServiceTest; JwtAuthenticationFilterTest; X509MachineAuthenticationFilterTest; TelemetryServiceTest; AbuseCaseRegressionTest; PaymentGatewayServiceImplTest; application-prod.properties; JWT service and signing/filter code detected; HMAC webhook validation code detected; X.509/mTLS machine authentication code detected</t>
        </is>
      </c>
      <c r="L4" s="30" t="inlineStr">
        <is>
          <t>JWT key strength and server-side signing; machine mTLS authentication paths; payment webhook HMAC validation; TLS configuration</t>
        </is>
      </c>
      <c r="M4" s="30" t="inlineStr">
        <is>
          <t>Keep make asvs-tracker passing; reassess if code, tests, or scope changes.</t>
        </is>
      </c>
    </row>
    <row r="5" ht="30" customHeight="1" s="26">
      <c r="A5" s="34" t="inlineStr">
        <is>
          <t>V11.1</t>
        </is>
      </c>
      <c r="B5" s="34" t="inlineStr">
        <is>
          <t>Cryptographic Inventory and Documentation</t>
        </is>
      </c>
      <c r="C5" s="34" t="inlineStr">
        <is>
          <t>V11.1.3</t>
        </is>
      </c>
      <c r="D5" s="34" t="inlineStr">
        <is>
          <t>Verify that cryptographic discovery mechanisms are employed to identify all instances of cryptography in the system, including encryption, hashing, and signing operations.</t>
        </is>
      </c>
      <c r="E5" s="40" t="n">
        <v>3</v>
      </c>
      <c r="F5" s="36" t="inlineStr">
        <is>
          <t>Compliant</t>
        </is>
      </c>
      <c r="G5" s="34" t="inlineStr">
        <is>
          <t>Automatically marked compliant from passing evidence: JWT key strength and server-side signing; machine mTLS authentication paths; payment webhook HMAC validation.</t>
        </is>
      </c>
      <c r="H5" s="34" t="inlineStr">
        <is>
          <t>SR-04; SR-18; SR-19; JwtServiceTest; JwtAuthenticationFilterTest; X509MachineAuthenticationFilterTest; TelemetryServiceTest; AbuseCaseRegressionTest; PaymentGatewayServiceImplTest; JWT service and signing/filter code detected; HMAC webhook validation code detected; X.509/mTLS machine authentication code detected</t>
        </is>
      </c>
      <c r="I5" s="30" t="inlineStr">
        <is>
          <t>Automatically inferred as implemented or justified from passing tests, source code, configuration, or build artifacts.</t>
        </is>
      </c>
      <c r="J5" s="30" t="inlineStr">
        <is>
          <t>Automated repository evidence</t>
        </is>
      </c>
      <c r="K5" s="30" t="inlineStr">
        <is>
          <t>JwtServiceTest; JwtAuthenticationFilterTest; X509MachineAuthenticationFilterTest; TelemetryServiceTest; AbuseCaseRegressionTest; PaymentGatewayServiceImplTest; JWT service and signing/filter code detected; HMAC webhook validation code detected; X.509/mTLS machine authentication code detected</t>
        </is>
      </c>
      <c r="L5" s="30" t="inlineStr">
        <is>
          <t>JWT key strength and server-side signing; machine mTLS authentication paths; payment webhook HMAC validation</t>
        </is>
      </c>
      <c r="M5" s="30" t="inlineStr">
        <is>
          <t>Keep make asvs-tracker passing; reassess if code, tests, or scope changes.</t>
        </is>
      </c>
    </row>
    <row r="6" ht="30" customHeight="1" s="26">
      <c r="A6" s="37" t="inlineStr">
        <is>
          <t>V11.1</t>
        </is>
      </c>
      <c r="B6" s="37" t="inlineStr">
        <is>
          <t>Cryptographic Inventory and Documentation</t>
        </is>
      </c>
      <c r="C6" s="37" t="inlineStr">
        <is>
          <t>V11.1.4</t>
        </is>
      </c>
      <c r="D6" s="37" t="inlineStr">
        <is>
          <t>Verify that a cryptographic inventory is maintained. This must include a documented plan that outlines the migration path to new cryptographic standards, such as post-quantum cryptography, in order to react to future threats.</t>
        </is>
      </c>
      <c r="E6" s="40" t="n">
        <v>3</v>
      </c>
      <c r="F6" s="36" t="inlineStr">
        <is>
          <t>Compliant</t>
        </is>
      </c>
      <c r="G6" s="37" t="inlineStr">
        <is>
          <t>Automatically marked compliant from passing evidence: JWT key strength and server-side signing; path traversal and report sandboxing; unsafe path/link handling; path traversal abuse-case regression.</t>
        </is>
      </c>
      <c r="H6" s="37" t="inlineStr">
        <is>
          <t>SR-04; SR-26; SR-27; AC-06; JwtServiceTest; JwtAuthenticationFilterTest; PathValidatorImplTest; ReportDirectoryServiceImplTest; AbuseCaseRegressionTest; JWT service and signing/filter code detected; path validation and report sandbox code detected</t>
        </is>
      </c>
      <c r="I6" s="30" t="inlineStr">
        <is>
          <t>Automatically inferred as implemented or justified from passing tests, source code, configuration, or build artifacts.</t>
        </is>
      </c>
      <c r="J6" s="30" t="inlineStr">
        <is>
          <t>Automated repository evidence</t>
        </is>
      </c>
      <c r="K6" s="30" t="inlineStr">
        <is>
          <t>JwtServiceTest; JwtAuthenticationFilterTest; PathValidatorImplTest; ReportDirectoryServiceImplTest; AbuseCaseRegressionTest; JWT service and signing/filter code detected; path validation and report sandbox code detected</t>
        </is>
      </c>
      <c r="L6" s="30" t="inlineStr">
        <is>
          <t>JWT key strength and server-side signing; path traversal and report sandboxing; unsafe path/link handling; path traversal abuse-case regression</t>
        </is>
      </c>
      <c r="M6" s="30" t="inlineStr">
        <is>
          <t>Keep make asvs-tracker passing; reassess if code, tests, or scope changes.</t>
        </is>
      </c>
    </row>
    <row r="7" ht="18" customHeight="1" s="26">
      <c r="A7" s="33" t="inlineStr">
        <is>
          <t>V11.2</t>
        </is>
      </c>
      <c r="B7" s="33" t="inlineStr">
        <is>
          <t>Secure Cryptography Implementation</t>
        </is>
      </c>
      <c r="C7" s="33" t="n"/>
      <c r="D7" s="33" t="n"/>
      <c r="E7" s="33" t="n"/>
      <c r="F7" s="33" t="n"/>
      <c r="G7" s="33" t="n"/>
      <c r="H7" s="33" t="n"/>
      <c r="I7" s="30" t="n"/>
      <c r="J7" s="30" t="n"/>
      <c r="K7" s="30" t="n"/>
      <c r="L7" s="30" t="n"/>
      <c r="M7" s="30" t="n"/>
    </row>
    <row r="8" ht="30" customHeight="1" s="26">
      <c r="A8" s="34" t="inlineStr">
        <is>
          <t>V11.2</t>
        </is>
      </c>
      <c r="B8" s="34" t="inlineStr">
        <is>
          <t>Secure Cryptography Implementation</t>
        </is>
      </c>
      <c r="C8" s="34" t="inlineStr">
        <is>
          <t>V11.2.1</t>
        </is>
      </c>
      <c r="D8" s="34" t="inlineStr">
        <is>
          <t>Verify that industry-validated implementations (including libraries and hardware-accelerated implementations) are used for cryptographic operations.</t>
        </is>
      </c>
      <c r="E8" s="35" t="n">
        <v>2</v>
      </c>
      <c r="F8" s="36" t="inlineStr">
        <is>
          <t>Compliant</t>
        </is>
      </c>
      <c r="G8" s="34" t="inlineStr">
        <is>
          <t>Automatically marked compliant from passing evidence: JWT key strength and server-side signing; machine mTLS authentication paths; payment webhook HMAC validation.</t>
        </is>
      </c>
      <c r="H8" s="34" t="inlineStr">
        <is>
          <t>SR-04; SR-18; SR-19; JwtServiceTest; JwtAuthenticationFilterTest; X509MachineAuthenticationFilterTest; TelemetryServiceTest; AbuseCaseRegressionTest; PaymentGatewayServiceImplTest; JWT service and signing/filter code detected; HMAC webhook validation code detected; X.509/mTLS machine authentication code detected</t>
        </is>
      </c>
      <c r="I8" s="30" t="inlineStr">
        <is>
          <t>Automatically inferred as implemented or justified from passing tests, source code, configuration, or build artifacts.</t>
        </is>
      </c>
      <c r="J8" s="30" t="inlineStr">
        <is>
          <t>Automated repository evidence</t>
        </is>
      </c>
      <c r="K8" s="30" t="inlineStr">
        <is>
          <t>JwtServiceTest; JwtAuthenticationFilterTest; X509MachineAuthenticationFilterTest; TelemetryServiceTest; AbuseCaseRegressionTest; PaymentGatewayServiceImplTest; JWT service and signing/filter code detected; HMAC webhook validation code detected; X.509/mTLS machine authentication code detected</t>
        </is>
      </c>
      <c r="L8" s="30" t="inlineStr">
        <is>
          <t>JWT key strength and server-side signing; machine mTLS authentication paths; payment webhook HMAC validation</t>
        </is>
      </c>
      <c r="M8" s="30" t="inlineStr">
        <is>
          <t>Keep make asvs-tracker passing; reassess if code, tests, or scope changes.</t>
        </is>
      </c>
    </row>
    <row r="9" ht="30" customHeight="1" s="26">
      <c r="A9" s="37" t="inlineStr">
        <is>
          <t>V11.2</t>
        </is>
      </c>
      <c r="B9" s="37" t="inlineStr">
        <is>
          <t>Secure Cryptography Implementation</t>
        </is>
      </c>
      <c r="C9" s="37" t="inlineStr">
        <is>
          <t>V11.2.2</t>
        </is>
      </c>
      <c r="D9" s="37"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35" t="n">
        <v>2</v>
      </c>
      <c r="F9" s="39" t="inlineStr">
        <is>
          <t>N/A</t>
        </is>
      </c>
      <c r="G9" s="37" t="inlineStr">
        <is>
          <t>Automatically marked out of scope: No browser-rendered frontend surface is present in this repository.</t>
        </is>
      </c>
      <c r="H9" s="37" t="inlineStr">
        <is>
          <t>Automated scope inference</t>
        </is>
      </c>
      <c r="I9" s="30" t="inlineStr">
        <is>
          <t>Out of scope for VendNet as currently implemented, or the requirement does not apply to this REST API/backend.</t>
        </is>
      </c>
      <c r="J9" s="30" t="inlineStr">
        <is>
          <t>Scope inference</t>
        </is>
      </c>
      <c r="K9" s="30" t="inlineStr">
        <is>
          <t>Not required for current backend scope.</t>
        </is>
      </c>
      <c r="L9" s="30" t="inlineStr">
        <is>
          <t>No browser-rendered frontend surface is present in this repository.</t>
        </is>
      </c>
      <c r="M9" s="30" t="inlineStr">
        <is>
          <t>Revisit if the application scope changes.</t>
        </is>
      </c>
    </row>
    <row r="10" ht="30" customHeight="1" s="26">
      <c r="A10" s="34" t="inlineStr">
        <is>
          <t>V11.2</t>
        </is>
      </c>
      <c r="B10" s="34" t="inlineStr">
        <is>
          <t>Secure Cryptography Implementation</t>
        </is>
      </c>
      <c r="C10" s="34" t="inlineStr">
        <is>
          <t>V11.2.3</t>
        </is>
      </c>
      <c r="D10" s="34"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35" t="n">
        <v>2</v>
      </c>
      <c r="F10" s="36" t="inlineStr">
        <is>
          <t>Compliant</t>
        </is>
      </c>
      <c r="G10" s="34" t="inlineStr">
        <is>
          <t>Automatically marked compliant from passing evidence: JWT key strength and server-side signing; safe JSON response/error surface; machine mTLS authentication paths; secrets externalized through configuration; pinned dependency rules.</t>
        </is>
      </c>
      <c r="H10" s="34" t="inlineStr">
        <is>
          <t>SR-04; SR-13; SR-14; SR-18; SR-11; SR-34; JwtServiceTest; JwtAuthenticationFilterTest; GlobalExceptionHandlerTest; ControllerIntegrationTests; X509MachineAuthenticationFilterTest; TelemetryServiceTest; GitHub Actions secret scan; application-prod.properties; Maven Enforcer; pom.xml; JWT service and signing/filter code detected; X.509/mTLS machine authentication code detected; SCA/SBOM/enforcer configuration detected; centralized safe error handling detected; CI secret/security scanning configuration detected</t>
        </is>
      </c>
      <c r="I10" s="30" t="inlineStr">
        <is>
          <t>Automatically inferred as implemented or justified from passing tests, source code, configuration, or build artifacts.</t>
        </is>
      </c>
      <c r="J10" s="30" t="inlineStr">
        <is>
          <t>Automated repository evidence</t>
        </is>
      </c>
      <c r="K10" s="30" t="inlineStr">
        <is>
          <t>JwtServiceTest; JwtAuthenticationFilterTest; GlobalExceptionHandlerTest; ControllerIntegrationTests; X509MachineAuthenticationFilterTest; TelemetryServiceTest; GitHub Actions secret scan; application-prod.properties; Maven Enforcer; pom.xml; JWT service and signing/filter code detected; X.509/mTLS machine authentication code detected; SCA/SBOM/enforcer configuration detected; centralized safe error handling detected; CI secret/security scanning configuration detected</t>
        </is>
      </c>
      <c r="L10" s="30" t="inlineStr">
        <is>
          <t>JWT key strength and server-side signing; safe JSON response/error surface; machine mTLS authentication paths; secrets externalized through configuration; pinned dependency rules</t>
        </is>
      </c>
      <c r="M10" s="30" t="inlineStr">
        <is>
          <t>Keep make asvs-tracker passing; reassess if code, tests, or scope changes.</t>
        </is>
      </c>
    </row>
    <row r="11" ht="30" customHeight="1" s="26">
      <c r="A11" s="37" t="inlineStr">
        <is>
          <t>V11.2</t>
        </is>
      </c>
      <c r="B11" s="37" t="inlineStr">
        <is>
          <t>Secure Cryptography Implementation</t>
        </is>
      </c>
      <c r="C11" s="37" t="inlineStr">
        <is>
          <t>V11.2.4</t>
        </is>
      </c>
      <c r="D11" s="37" t="inlineStr">
        <is>
          <t>Verify that all cryptographic operations are constant-time, with no 'short-circuit' operations in comparisons, calculations, or returns, to avoid leaking information.</t>
        </is>
      </c>
      <c r="E11" s="40" t="n">
        <v>3</v>
      </c>
      <c r="F11" s="36" t="inlineStr">
        <is>
          <t>Compliant</t>
        </is>
      </c>
      <c r="G11" s="37" t="inlineStr">
        <is>
          <t>Automatically marked compliant from passing evidence: JWT key strength and server-side signing.</t>
        </is>
      </c>
      <c r="H11" s="37" t="inlineStr">
        <is>
          <t>SR-04; JwtServiceTest; JwtAuthenticationFilterTest; JWT service and signing/filter code detected</t>
        </is>
      </c>
      <c r="I11" s="30" t="inlineStr">
        <is>
          <t>Automatically inferred as implemented or justified from passing tests, source code, configuration, or build artifacts.</t>
        </is>
      </c>
      <c r="J11" s="30" t="inlineStr">
        <is>
          <t>Automated repository evidence</t>
        </is>
      </c>
      <c r="K11" s="30" t="inlineStr">
        <is>
          <t>JwtServiceTest; JwtAuthenticationFilterTest; JWT service and signing/filter code detected</t>
        </is>
      </c>
      <c r="L11" s="30" t="inlineStr">
        <is>
          <t>JWT key strength and server-side signing</t>
        </is>
      </c>
      <c r="M11" s="30" t="inlineStr">
        <is>
          <t>Keep make asvs-tracker passing; reassess if code, tests, or scope changes.</t>
        </is>
      </c>
    </row>
    <row r="12" ht="30" customHeight="1" s="26">
      <c r="A12" s="34" t="inlineStr">
        <is>
          <t>V11.2</t>
        </is>
      </c>
      <c r="B12" s="34" t="inlineStr">
        <is>
          <t>Secure Cryptography Implementation</t>
        </is>
      </c>
      <c r="C12" s="34" t="inlineStr">
        <is>
          <t>V11.2.5</t>
        </is>
      </c>
      <c r="D12" s="34" t="inlineStr">
        <is>
          <t>Verify that all cryptographic modules fail securely, and errors are handled in a way that does not enable vulnerabilities, such as Padding Oracle attacks.</t>
        </is>
      </c>
      <c r="E12" s="40" t="n">
        <v>3</v>
      </c>
      <c r="F12" s="36" t="inlineStr">
        <is>
          <t>Compliant</t>
        </is>
      </c>
      <c r="G12" s="34" t="inlineStr">
        <is>
          <t>Automatically marked compliant from passing evidence: JWT key strength and server-side signing; authentication audit logging; sensitive log data checks; safe error response checks.</t>
        </is>
      </c>
      <c r="H12" s="34" t="inlineStr">
        <is>
          <t>SR-04; SR-37; SR-45; SR-46; JwtServiceTest; JwtAuthenticationFilterTest; AuthServiceTest; AuditLoggerTest; GlobalExceptionHandlerTest; ControllerIntegrationTests; JWT service and signing/filter code detected; audit logging implementation detected; centralized safe error handling detected</t>
        </is>
      </c>
      <c r="I12" s="30" t="inlineStr">
        <is>
          <t>Automatically inferred as implemented or justified from passing tests, source code, configuration, or build artifacts.</t>
        </is>
      </c>
      <c r="J12" s="30" t="inlineStr">
        <is>
          <t>Automated repository evidence</t>
        </is>
      </c>
      <c r="K12" s="30" t="inlineStr">
        <is>
          <t>JwtServiceTest; JwtAuthenticationFilterTest; AuthServiceTest; AuditLoggerTest; GlobalExceptionHandlerTest; ControllerIntegrationTests; JWT service and signing/filter code detected; audit logging implementation detected; centralized safe error handling detected</t>
        </is>
      </c>
      <c r="L12" s="30" t="inlineStr">
        <is>
          <t>JWT key strength and server-side signing; authentication audit logging; sensitive log data checks; safe error response checks</t>
        </is>
      </c>
      <c r="M12" s="30" t="inlineStr">
        <is>
          <t>Keep make asvs-tracker passing; reassess if code, tests, or scope changes.</t>
        </is>
      </c>
    </row>
    <row r="13" ht="18" customHeight="1" s="26">
      <c r="A13" s="33" t="inlineStr">
        <is>
          <t>V11.3</t>
        </is>
      </c>
      <c r="B13" s="33" t="inlineStr">
        <is>
          <t>Encryption Algorithms</t>
        </is>
      </c>
      <c r="C13" s="33" t="n"/>
      <c r="D13" s="33" t="n"/>
      <c r="E13" s="33" t="n"/>
      <c r="F13" s="33" t="n"/>
      <c r="G13" s="33" t="n"/>
      <c r="H13" s="33" t="n"/>
      <c r="I13" s="30" t="n"/>
      <c r="J13" s="30" t="n"/>
      <c r="K13" s="30" t="n"/>
      <c r="L13" s="30" t="n"/>
      <c r="M13" s="30" t="n"/>
    </row>
    <row r="14" ht="30" customHeight="1" s="26">
      <c r="A14" s="34" t="inlineStr">
        <is>
          <t>V11.3</t>
        </is>
      </c>
      <c r="B14" s="34" t="inlineStr">
        <is>
          <t>Encryption Algorithms</t>
        </is>
      </c>
      <c r="C14" s="34" t="inlineStr">
        <is>
          <t>V11.3.1</t>
        </is>
      </c>
      <c r="D14" s="34" t="inlineStr">
        <is>
          <t>Verify that insecure block modes (e.g., ECB) and weak padding schemes (e.g., PKCS#1 v1.5) are not used.</t>
        </is>
      </c>
      <c r="E14" s="38" t="n">
        <v>1</v>
      </c>
      <c r="F14" s="36" t="inlineStr">
        <is>
          <t>Compliant</t>
        </is>
      </c>
      <c r="G14" s="34" t="inlineStr">
        <is>
          <t>Automatically marked compliant from passing evidence: safe JSON response/error surface.</t>
        </is>
      </c>
      <c r="H14" s="34" t="inlineStr">
        <is>
          <t>SR-14; GlobalExceptionHandlerTest; ControllerIntegrationTests; centralized safe error handling detected</t>
        </is>
      </c>
      <c r="I14" s="30" t="inlineStr">
        <is>
          <t>Automatically inferred as implemented or justified from passing tests, source code, configuration, or build artifacts.</t>
        </is>
      </c>
      <c r="J14" s="30" t="inlineStr">
        <is>
          <t>Automated repository evidence</t>
        </is>
      </c>
      <c r="K14" s="30" t="inlineStr">
        <is>
          <t>GlobalExceptionHandlerTest; ControllerIntegrationTests; centralized safe error handling detected</t>
        </is>
      </c>
      <c r="L14" s="30" t="inlineStr">
        <is>
          <t>safe JSON response/error surface</t>
        </is>
      </c>
      <c r="M14" s="30" t="inlineStr">
        <is>
          <t>Keep make asvs-tracker passing; reassess if code, tests, or scope changes.</t>
        </is>
      </c>
    </row>
    <row r="15" ht="30" customHeight="1" s="26">
      <c r="A15" s="37" t="inlineStr">
        <is>
          <t>V11.3</t>
        </is>
      </c>
      <c r="B15" s="37" t="inlineStr">
        <is>
          <t>Encryption Algorithms</t>
        </is>
      </c>
      <c r="C15" s="37" t="inlineStr">
        <is>
          <t>V11.3.2</t>
        </is>
      </c>
      <c r="D15" s="37" t="inlineStr">
        <is>
          <t>Verify that only approved ciphers and modes such as AES with GCM are used.</t>
        </is>
      </c>
      <c r="E15" s="38" t="n">
        <v>1</v>
      </c>
      <c r="F15" s="36" t="inlineStr">
        <is>
          <t>Compliant</t>
        </is>
      </c>
      <c r="G15" s="37" t="inlineStr">
        <is>
          <t>Automatically marked compliant from passing evidence: JWT key strength and server-side signing; safe JSON response/error surface; TLS configuration; payment webhook HMAC validation.</t>
        </is>
      </c>
      <c r="H15" s="37" t="inlineStr">
        <is>
          <t>SR-04; SR-14; SR-17; SR-19; JwtServiceTest; JwtAuthenticationFilterTest; GlobalExceptionHandlerTest; ControllerIntegrationTests; application-prod.properties; AbuseCaseRegressionTest; PaymentGatewayServiceImplTest; JWT service and signing/filter code detected; HMAC webhook validation code detected; centralized safe error handling detected</t>
        </is>
      </c>
      <c r="I15" s="30" t="inlineStr">
        <is>
          <t>Automatically inferred as implemented or justified from passing tests, source code, configuration, or build artifacts.</t>
        </is>
      </c>
      <c r="J15" s="30" t="inlineStr">
        <is>
          <t>Automated repository evidence</t>
        </is>
      </c>
      <c r="K15" s="30" t="inlineStr">
        <is>
          <t>JwtServiceTest; JwtAuthenticationFilterTest; GlobalExceptionHandlerTest; ControllerIntegrationTests; application-prod.properties; AbuseCaseRegressionTest; PaymentGatewayServiceImplTest; JWT service and signing/filter code detected; HMAC webhook validation code detected; centralized safe error handling detected</t>
        </is>
      </c>
      <c r="L15" s="30" t="inlineStr">
        <is>
          <t>JWT key strength and server-side signing; safe JSON response/error surface; TLS configuration; payment webhook HMAC validation</t>
        </is>
      </c>
      <c r="M15" s="30" t="inlineStr">
        <is>
          <t>Keep make asvs-tracker passing; reassess if code, tests, or scope changes.</t>
        </is>
      </c>
    </row>
    <row r="16" ht="30" customHeight="1" s="26">
      <c r="A16" s="34" t="inlineStr">
        <is>
          <t>V11.3</t>
        </is>
      </c>
      <c r="B16" s="34" t="inlineStr">
        <is>
          <t>Encryption Algorithms</t>
        </is>
      </c>
      <c r="C16" s="34" t="inlineStr">
        <is>
          <t>V11.3.3</t>
        </is>
      </c>
      <c r="D16" s="34" t="inlineStr">
        <is>
          <t>Verify that encrypted data is protected against unauthorized modification preferably by using an approved authenticated encryption method or by combining an approved encryption method with an approved MAC algorithm.</t>
        </is>
      </c>
      <c r="E16" s="35" t="n">
        <v>2</v>
      </c>
      <c r="F16" s="36" t="inlineStr">
        <is>
          <t>Compliant</t>
        </is>
      </c>
      <c r="G16" s="34" t="inlineStr">
        <is>
          <t>Automatically marked compliant from passing evidence: safe JSON response/error surface; payment webhook HMAC validation.</t>
        </is>
      </c>
      <c r="H16" s="34" t="inlineStr">
        <is>
          <t>SR-14; SR-19; GlobalExceptionHandlerTest; ControllerIntegrationTests; AbuseCaseRegressionTest; PaymentGatewayServiceImplTest; HMAC webhook validation code detected; centralized safe error handling detected</t>
        </is>
      </c>
      <c r="I16" s="30" t="inlineStr">
        <is>
          <t>Automatically inferred as implemented or justified from passing tests, source code, configuration, or build artifacts.</t>
        </is>
      </c>
      <c r="J16" s="30" t="inlineStr">
        <is>
          <t>Automated repository evidence</t>
        </is>
      </c>
      <c r="K16" s="30" t="inlineStr">
        <is>
          <t>GlobalExceptionHandlerTest; ControllerIntegrationTests; AbuseCaseRegressionTest; PaymentGatewayServiceImplTest; HMAC webhook validation code detected; centralized safe error handling detected</t>
        </is>
      </c>
      <c r="L16" s="30" t="inlineStr">
        <is>
          <t>safe JSON response/error surface; payment webhook HMAC validation</t>
        </is>
      </c>
      <c r="M16" s="30" t="inlineStr">
        <is>
          <t>Keep make asvs-tracker passing; reassess if code, tests, or scope changes.</t>
        </is>
      </c>
    </row>
    <row r="17" ht="30" customHeight="1" s="26">
      <c r="A17" s="37" t="inlineStr">
        <is>
          <t>V11.3</t>
        </is>
      </c>
      <c r="B17" s="37" t="inlineStr">
        <is>
          <t>Encryption Algorithms</t>
        </is>
      </c>
      <c r="C17" s="37" t="inlineStr">
        <is>
          <t>V11.3.4</t>
        </is>
      </c>
      <c r="D17" s="37" t="inlineStr">
        <is>
          <t>Verify that nonces, initialization vectors, and other single-use numbers are not used for more than one encryption key and data-element pair. The method of generation must be appropriate for the algorithm being used.</t>
        </is>
      </c>
      <c r="E17" s="40" t="n">
        <v>3</v>
      </c>
      <c r="F17" s="36" t="inlineStr">
        <is>
          <t>Compliant</t>
        </is>
      </c>
      <c r="G17" s="37" t="inlineStr">
        <is>
          <t>Automatically marked compliant from passing evidence: safe JSON response/error surface.</t>
        </is>
      </c>
      <c r="H17" s="37" t="inlineStr">
        <is>
          <t>SR-14; GlobalExceptionHandlerTest; ControllerIntegrationTests; centralized safe error handling detected</t>
        </is>
      </c>
      <c r="I17" s="30" t="inlineStr">
        <is>
          <t>Automatically inferred as implemented or justified from passing tests, source code, configuration, or build artifacts.</t>
        </is>
      </c>
      <c r="J17" s="30" t="inlineStr">
        <is>
          <t>Automated repository evidence</t>
        </is>
      </c>
      <c r="K17" s="30" t="inlineStr">
        <is>
          <t>GlobalExceptionHandlerTest; ControllerIntegrationTests; centralized safe error handling detected</t>
        </is>
      </c>
      <c r="L17" s="30" t="inlineStr">
        <is>
          <t>safe JSON response/error surface</t>
        </is>
      </c>
      <c r="M17" s="30" t="inlineStr">
        <is>
          <t>Keep make asvs-tracker passing; reassess if code, tests, or scope changes.</t>
        </is>
      </c>
    </row>
    <row r="18" ht="30" customHeight="1" s="26">
      <c r="A18" s="34" t="inlineStr">
        <is>
          <t>V11.3</t>
        </is>
      </c>
      <c r="B18" s="34" t="inlineStr">
        <is>
          <t>Encryption Algorithms</t>
        </is>
      </c>
      <c r="C18" s="34" t="inlineStr">
        <is>
          <t>V11.3.5</t>
        </is>
      </c>
      <c r="D18" s="34" t="inlineStr">
        <is>
          <t>Verify that any combination of an encryption algorithm and a MAC algorithm is operating in encrypt-then-MAC mode.</t>
        </is>
      </c>
      <c r="E18" s="40" t="n">
        <v>3</v>
      </c>
      <c r="F18" s="36" t="inlineStr">
        <is>
          <t>Compliant</t>
        </is>
      </c>
      <c r="G18" s="34" t="inlineStr">
        <is>
          <t>Automatically marked compliant from passing evidence: JWT key strength and server-side signing; payment webhook HMAC validation.</t>
        </is>
      </c>
      <c r="H18" s="34" t="inlineStr">
        <is>
          <t>SR-04; SR-19; JwtServiceTest; JwtAuthenticationFilterTest; AbuseCaseRegressionTest; PaymentGatewayServiceImplTest; JWT service and signing/filter code detected; HMAC webhook validation code detected</t>
        </is>
      </c>
      <c r="I18" s="30" t="inlineStr">
        <is>
          <t>Automatically inferred as implemented or justified from passing tests, source code, configuration, or build artifacts.</t>
        </is>
      </c>
      <c r="J18" s="30" t="inlineStr">
        <is>
          <t>Automated repository evidence</t>
        </is>
      </c>
      <c r="K18" s="30" t="inlineStr">
        <is>
          <t>JwtServiceTest; JwtAuthenticationFilterTest; AbuseCaseRegressionTest; PaymentGatewayServiceImplTest; JWT service and signing/filter code detected; HMAC webhook validation code detected</t>
        </is>
      </c>
      <c r="L18" s="30" t="inlineStr">
        <is>
          <t>JWT key strength and server-side signing; payment webhook HMAC validation</t>
        </is>
      </c>
      <c r="M18" s="30" t="inlineStr">
        <is>
          <t>Keep make asvs-tracker passing; reassess if code, tests, or scope changes.</t>
        </is>
      </c>
    </row>
    <row r="19" ht="18" customHeight="1" s="26">
      <c r="A19" s="33" t="inlineStr">
        <is>
          <t>V11.4</t>
        </is>
      </c>
      <c r="B19" s="33" t="inlineStr">
        <is>
          <t>Hashing and Hash-based Functions</t>
        </is>
      </c>
      <c r="C19" s="33" t="n"/>
      <c r="D19" s="33" t="n"/>
      <c r="E19" s="33" t="n"/>
      <c r="F19" s="33" t="n"/>
      <c r="G19" s="33" t="n"/>
      <c r="H19" s="33" t="n"/>
      <c r="I19" s="30" t="n"/>
      <c r="J19" s="30" t="n"/>
      <c r="K19" s="30" t="n"/>
      <c r="L19" s="30" t="n"/>
      <c r="M19" s="30" t="n"/>
    </row>
    <row r="20" ht="30" customHeight="1" s="26">
      <c r="A20" s="34" t="inlineStr">
        <is>
          <t>V11.4</t>
        </is>
      </c>
      <c r="B20" s="34" t="inlineStr">
        <is>
          <t>Hashing and Hash-based Functions</t>
        </is>
      </c>
      <c r="C20" s="34" t="inlineStr">
        <is>
          <t>V11.4.1</t>
        </is>
      </c>
      <c r="D20" s="34" t="inlineStr">
        <is>
          <t>Verify that only approved hash functions are used for general cryptographic use cases, including digital signatures, HMAC, KDF, and random bit generation. Disallowed hash functions, such as MD5, must not be used for any cryptographic purpose.</t>
        </is>
      </c>
      <c r="E20" s="38" t="n">
        <v>1</v>
      </c>
      <c r="F20" s="39" t="inlineStr">
        <is>
          <t>N/A</t>
        </is>
      </c>
      <c r="G20" s="34" t="inlineStr">
        <is>
          <t>Automatically marked out of scope: No browser-rendered frontend surface is present in this repository.</t>
        </is>
      </c>
      <c r="H20" s="34" t="inlineStr">
        <is>
          <t>Automated scope inference</t>
        </is>
      </c>
      <c r="I20" s="30" t="inlineStr">
        <is>
          <t>Out of scope for VendNet as currently implemented, or the requirement does not apply to this REST API/backend.</t>
        </is>
      </c>
      <c r="J20" s="30" t="inlineStr">
        <is>
          <t>Scope inference</t>
        </is>
      </c>
      <c r="K20" s="30" t="inlineStr">
        <is>
          <t>Not required for current backend scope.</t>
        </is>
      </c>
      <c r="L20" s="30" t="inlineStr">
        <is>
          <t>No browser-rendered frontend surface is present in this repository.</t>
        </is>
      </c>
      <c r="M20" s="30" t="inlineStr">
        <is>
          <t>Revisit if the application scope changes.</t>
        </is>
      </c>
    </row>
    <row r="21" ht="30" customHeight="1" s="26">
      <c r="A21" s="37" t="inlineStr">
        <is>
          <t>V11.4</t>
        </is>
      </c>
      <c r="B21" s="37" t="inlineStr">
        <is>
          <t>Hashing and Hash-based Functions</t>
        </is>
      </c>
      <c r="C21" s="37" t="inlineStr">
        <is>
          <t>V11.4.2</t>
        </is>
      </c>
      <c r="D21" s="37"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35" t="n">
        <v>2</v>
      </c>
      <c r="F21" s="36" t="inlineStr">
        <is>
          <t>Compliant</t>
        </is>
      </c>
      <c r="G21" s="37" t="inlineStr">
        <is>
          <t>Automatically marked compliant from passing evidence: administrator MFA; account status validation; failed-login lockout behaviour.</t>
        </is>
      </c>
      <c r="H21" s="37" t="inlineStr">
        <is>
          <t>NFR-05; SR-01; SR-05; SR-07; AuthServiceTest; AuthControllerIntegrationTest; SystemFunctionalTests; MFA/TOTP code and tests detected</t>
        </is>
      </c>
      <c r="I21" s="30" t="inlineStr">
        <is>
          <t>Automatically inferred as implemented or justified from passing tests, source code, configuration, or build artifacts.</t>
        </is>
      </c>
      <c r="J21" s="30" t="inlineStr">
        <is>
          <t>Automated repository evidence</t>
        </is>
      </c>
      <c r="K21" s="30" t="inlineStr">
        <is>
          <t>AuthServiceTest; AuthControllerIntegrationTest; SystemFunctionalTests; MFA/TOTP code and tests detected</t>
        </is>
      </c>
      <c r="L21" s="30" t="inlineStr">
        <is>
          <t>administrator MFA; account status validation; failed-login lockout behaviour</t>
        </is>
      </c>
      <c r="M21" s="30" t="inlineStr">
        <is>
          <t>Keep make asvs-tracker passing; reassess if code, tests, or scope changes.</t>
        </is>
      </c>
    </row>
    <row r="22" ht="30" customHeight="1" s="26">
      <c r="A22" s="34" t="inlineStr">
        <is>
          <t>V11.4</t>
        </is>
      </c>
      <c r="B22" s="34" t="inlineStr">
        <is>
          <t>Hashing and Hash-based Functions</t>
        </is>
      </c>
      <c r="C22" s="34" t="inlineStr">
        <is>
          <t>V11.4.3</t>
        </is>
      </c>
      <c r="D22" s="34"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35" t="n">
        <v>2</v>
      </c>
      <c r="F22" s="36" t="inlineStr">
        <is>
          <t>Compliant</t>
        </is>
      </c>
      <c r="G22" s="34" t="inlineStr">
        <is>
          <t>Automatically marked compliant from passing evidence: JWT key strength and server-side signing; payment webhook HMAC validation; administrator MFA; account status validation; failed-login lockout behaviour.</t>
        </is>
      </c>
      <c r="H22" s="34" t="inlineStr">
        <is>
          <t>SR-04; SR-19; SR-01; SR-05; SR-07; JwtServiceTest; JwtAuthenticationFilterTest; AbuseCaseRegressionTest; PaymentGatewayServiceImplTest; AuthServiceTest; AuthControllerIntegrationTest; SystemFunctionalTests; JWT service and signing/filter code detected; MFA/TOTP code and tests detected; HMAC webhook validation code detected</t>
        </is>
      </c>
      <c r="I22" s="30" t="inlineStr">
        <is>
          <t>Automatically inferred as implemented or justified from passing tests, source code, configuration, or build artifacts.</t>
        </is>
      </c>
      <c r="J22" s="30" t="inlineStr">
        <is>
          <t>Automated repository evidence</t>
        </is>
      </c>
      <c r="K22" s="30" t="inlineStr">
        <is>
          <t>JwtServiceTest; JwtAuthenticationFilterTest; AbuseCaseRegressionTest; PaymentGatewayServiceImplTest; AuthServiceTest; AuthControllerIntegrationTest; SystemFunctionalTests; JWT service and signing/filter code detected; MFA/TOTP code and tests detected; HMAC webhook validation code detected</t>
        </is>
      </c>
      <c r="L22" s="30" t="inlineStr">
        <is>
          <t>JWT key strength and server-side signing; payment webhook HMAC validation; administrator MFA; account status validation; failed-login lockout behaviour</t>
        </is>
      </c>
      <c r="M22" s="30" t="inlineStr">
        <is>
          <t>Keep make asvs-tracker passing; reassess if code, tests, or scope changes.</t>
        </is>
      </c>
    </row>
    <row r="23" ht="30" customHeight="1" s="26">
      <c r="A23" s="37" t="inlineStr">
        <is>
          <t>V11.4</t>
        </is>
      </c>
      <c r="B23" s="37" t="inlineStr">
        <is>
          <t>Hashing and Hash-based Functions</t>
        </is>
      </c>
      <c r="C23" s="37" t="inlineStr">
        <is>
          <t>V11.4.4</t>
        </is>
      </c>
      <c r="D23" s="37"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35" t="n">
        <v>2</v>
      </c>
      <c r="F23" s="36" t="inlineStr">
        <is>
          <t>Compliant</t>
        </is>
      </c>
      <c r="G23" s="37" t="inlineStr">
        <is>
          <t>Automatically marked compliant from passing evidence: JWT key strength and server-side signing; administrator MFA; account status validation; failed-login lockout behaviour; secrets externalized through configuration; pinned dependency rules.</t>
        </is>
      </c>
      <c r="H23" s="37" t="inlineStr">
        <is>
          <t>SR-04; SR-01; SR-05; SR-07; SR-11; SR-34; JwtServiceTest; JwtAuthenticationFilterTest; AuthServiceTest; AuthControllerIntegrationTest; SystemFunctionalTests; GitHub Actions secret scan; application-prod.properties; Maven Enforcer; pom.xml; JWT service and signing/filter code detected; MFA/TOTP code and tests detected; SCA/SBOM/enforcer configuration detected; CI secret/security scanning configuration detected</t>
        </is>
      </c>
      <c r="I23" s="30" t="inlineStr">
        <is>
          <t>Automatically inferred as implemented or justified from passing tests, source code, configuration, or build artifacts.</t>
        </is>
      </c>
      <c r="J23" s="30" t="inlineStr">
        <is>
          <t>Automated repository evidence</t>
        </is>
      </c>
      <c r="K23" s="30" t="inlineStr">
        <is>
          <t>JwtServiceTest; JwtAuthenticationFilterTest; AuthServiceTest; AuthControllerIntegrationTest; SystemFunctionalTests; GitHub Actions secret scan; application-prod.properties; Maven Enforcer; pom.xml; JWT service and signing/filter code detected; MFA/TOTP code and tests detected; SCA/SBOM/enforcer configuration detected; CI secret/security scanning configuration detected</t>
        </is>
      </c>
      <c r="L23" s="30" t="inlineStr">
        <is>
          <t>JWT key strength and server-side signing; administrator MFA; account status validation; failed-login lockout behaviour; secrets externalized through configuration; pinned dependency rules</t>
        </is>
      </c>
      <c r="M23" s="30" t="inlineStr">
        <is>
          <t>Keep make asvs-tracker passing; reassess if code, tests, or scope changes.</t>
        </is>
      </c>
    </row>
    <row r="24" ht="18" customHeight="1" s="26">
      <c r="A24" s="33" t="inlineStr">
        <is>
          <t>V11.5</t>
        </is>
      </c>
      <c r="B24" s="33" t="inlineStr">
        <is>
          <t>Random Values</t>
        </is>
      </c>
      <c r="C24" s="33" t="n"/>
      <c r="D24" s="33" t="n"/>
      <c r="E24" s="33" t="n"/>
      <c r="F24" s="33" t="n"/>
      <c r="G24" s="33" t="n"/>
      <c r="H24" s="33" t="n"/>
      <c r="I24" s="30" t="n"/>
      <c r="J24" s="30" t="n"/>
      <c r="K24" s="30" t="n"/>
      <c r="L24" s="30" t="n"/>
      <c r="M24" s="30" t="n"/>
    </row>
    <row r="25" ht="30" customHeight="1" s="26">
      <c r="A25" s="34" t="inlineStr">
        <is>
          <t>V11.5</t>
        </is>
      </c>
      <c r="B25" s="34" t="inlineStr">
        <is>
          <t>Random Values</t>
        </is>
      </c>
      <c r="C25" s="34" t="inlineStr">
        <is>
          <t>V11.5.1</t>
        </is>
      </c>
      <c r="D25" s="34"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35" t="n">
        <v>2</v>
      </c>
      <c r="F25" s="39" t="inlineStr">
        <is>
          <t>N/A</t>
        </is>
      </c>
      <c r="G25" s="34" t="inlineStr">
        <is>
          <t>Automatically marked out of scope: No browser-rendered frontend surface is present in this repository.</t>
        </is>
      </c>
      <c r="H25" s="34" t="inlineStr">
        <is>
          <t>Automated scope inference</t>
        </is>
      </c>
      <c r="I25" s="30" t="inlineStr">
        <is>
          <t>Out of scope for VendNet as currently implemented, or the requirement does not apply to this REST API/backend.</t>
        </is>
      </c>
      <c r="J25" s="30" t="inlineStr">
        <is>
          <t>Scope inference</t>
        </is>
      </c>
      <c r="K25" s="30" t="inlineStr">
        <is>
          <t>Not required for current backend scope.</t>
        </is>
      </c>
      <c r="L25" s="30" t="inlineStr">
        <is>
          <t>No browser-rendered frontend surface is present in this repository.</t>
        </is>
      </c>
      <c r="M25" s="30" t="inlineStr">
        <is>
          <t>Revisit if the application scope changes.</t>
        </is>
      </c>
    </row>
    <row r="26" ht="30" customHeight="1" s="26">
      <c r="A26" s="37" t="inlineStr">
        <is>
          <t>V11.5</t>
        </is>
      </c>
      <c r="B26" s="37" t="inlineStr">
        <is>
          <t>Random Values</t>
        </is>
      </c>
      <c r="C26" s="37" t="inlineStr">
        <is>
          <t>V11.5.2</t>
        </is>
      </c>
      <c r="D26" s="37" t="inlineStr">
        <is>
          <t>Verify that the random number generation mechanism in use is designed to work securely, even under heavy demand.</t>
        </is>
      </c>
      <c r="E26" s="40" t="n">
        <v>3</v>
      </c>
      <c r="F26" s="39" t="inlineStr">
        <is>
          <t>N/A</t>
        </is>
      </c>
      <c r="G26" s="37" t="inlineStr">
        <is>
          <t>Automatically marked out of scope: No browser-rendered frontend surface is present in this repository.</t>
        </is>
      </c>
      <c r="H26" s="37" t="inlineStr">
        <is>
          <t>Automated scope inference</t>
        </is>
      </c>
      <c r="I26" s="30" t="inlineStr">
        <is>
          <t>Out of scope for VendNet as currently implemented, or the requirement does not apply to this REST API/backend.</t>
        </is>
      </c>
      <c r="J26" s="30" t="inlineStr">
        <is>
          <t>Scope inference</t>
        </is>
      </c>
      <c r="K26" s="30" t="inlineStr">
        <is>
          <t>Not required for current backend scope.</t>
        </is>
      </c>
      <c r="L26" s="30" t="inlineStr">
        <is>
          <t>No browser-rendered frontend surface is present in this repository.</t>
        </is>
      </c>
      <c r="M26" s="30" t="inlineStr">
        <is>
          <t>Revisit if the application scope changes.</t>
        </is>
      </c>
    </row>
    <row r="27" ht="18" customHeight="1" s="26">
      <c r="A27" s="33" t="inlineStr">
        <is>
          <t>V11.6</t>
        </is>
      </c>
      <c r="B27" s="33" t="inlineStr">
        <is>
          <t>Public Key Cryptography</t>
        </is>
      </c>
      <c r="C27" s="33" t="n"/>
      <c r="D27" s="33" t="n"/>
      <c r="E27" s="33" t="n"/>
      <c r="F27" s="33" t="n"/>
      <c r="G27" s="33" t="n"/>
      <c r="H27" s="33" t="n"/>
      <c r="I27" s="30" t="n"/>
      <c r="J27" s="30" t="n"/>
      <c r="K27" s="30" t="n"/>
      <c r="L27" s="30" t="n"/>
      <c r="M27" s="30" t="n"/>
    </row>
    <row r="28" ht="30" customHeight="1" s="26">
      <c r="A28" s="34" t="inlineStr">
        <is>
          <t>V11.6</t>
        </is>
      </c>
      <c r="B28" s="34" t="inlineStr">
        <is>
          <t>Public Key Cryptography</t>
        </is>
      </c>
      <c r="C28" s="34" t="inlineStr">
        <is>
          <t>V11.6.1</t>
        </is>
      </c>
      <c r="D28" s="34"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35" t="n">
        <v>2</v>
      </c>
      <c r="F28" s="36" t="inlineStr">
        <is>
          <t>Compliant</t>
        </is>
      </c>
      <c r="G28" s="34" t="inlineStr">
        <is>
          <t>Automatically marked compliant from passing evidence: machine mTLS authentication paths.</t>
        </is>
      </c>
      <c r="H28" s="34" t="inlineStr">
        <is>
          <t>SR-18; X509MachineAuthenticationFilterTest; TelemetryServiceTest; X.509/mTLS machine authentication code detected</t>
        </is>
      </c>
      <c r="I28" s="30" t="inlineStr">
        <is>
          <t>Automatically inferred as implemented or justified from passing tests, source code, configuration, or build artifacts.</t>
        </is>
      </c>
      <c r="J28" s="30" t="inlineStr">
        <is>
          <t>Automated repository evidence</t>
        </is>
      </c>
      <c r="K28" s="30" t="inlineStr">
        <is>
          <t>X509MachineAuthenticationFilterTest; TelemetryServiceTest; X.509/mTLS machine authentication code detected</t>
        </is>
      </c>
      <c r="L28" s="30" t="inlineStr">
        <is>
          <t>machine mTLS authentication paths</t>
        </is>
      </c>
      <c r="M28" s="30" t="inlineStr">
        <is>
          <t>Keep make asvs-tracker passing; reassess if code, tests, or scope changes.</t>
        </is>
      </c>
    </row>
    <row r="29" ht="30" customHeight="1" s="26">
      <c r="A29" s="37" t="inlineStr">
        <is>
          <t>V11.6</t>
        </is>
      </c>
      <c r="B29" s="37" t="inlineStr">
        <is>
          <t>Public Key Cryptography</t>
        </is>
      </c>
      <c r="C29" s="37" t="inlineStr">
        <is>
          <t>V11.6.2</t>
        </is>
      </c>
      <c r="D29" s="37"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40" t="n">
        <v>3</v>
      </c>
      <c r="F29" s="36" t="inlineStr">
        <is>
          <t>Compliant</t>
        </is>
      </c>
      <c r="G29" s="37" t="inlineStr">
        <is>
          <t>Automatically marked compliant from passing evidence: TLS configuration.</t>
        </is>
      </c>
      <c r="H29" s="37" t="inlineStr">
        <is>
          <t>SR-17; application-prod.properties</t>
        </is>
      </c>
      <c r="I29" s="30" t="inlineStr">
        <is>
          <t>Automatically inferred as implemented or justified from passing tests, source code, configuration, or build artifacts.</t>
        </is>
      </c>
      <c r="J29" s="30" t="inlineStr">
        <is>
          <t>Automated repository evidence</t>
        </is>
      </c>
      <c r="K29" s="30" t="inlineStr">
        <is>
          <t>application-prod.properties</t>
        </is>
      </c>
      <c r="L29" s="30" t="inlineStr">
        <is>
          <t>TLS configuration</t>
        </is>
      </c>
      <c r="M29" s="30" t="inlineStr">
        <is>
          <t>Keep make asvs-tracker passing; reassess if code, tests, or scope changes.</t>
        </is>
      </c>
    </row>
    <row r="30" ht="18" customHeight="1" s="26">
      <c r="A30" s="33" t="inlineStr">
        <is>
          <t>V11.7</t>
        </is>
      </c>
      <c r="B30" s="33" t="inlineStr">
        <is>
          <t>In-Use Data Cryptography</t>
        </is>
      </c>
      <c r="C30" s="33" t="n"/>
      <c r="D30" s="33" t="n"/>
      <c r="E30" s="33" t="n"/>
      <c r="F30" s="33" t="n"/>
      <c r="G30" s="33" t="n"/>
      <c r="H30" s="33" t="n"/>
      <c r="I30" s="30" t="n"/>
      <c r="J30" s="30" t="n"/>
      <c r="K30" s="30" t="n"/>
      <c r="L30" s="30" t="n"/>
      <c r="M30" s="30" t="n"/>
    </row>
    <row r="31" ht="30" customHeight="1" s="26">
      <c r="A31" s="34" t="inlineStr">
        <is>
          <t>V11.7</t>
        </is>
      </c>
      <c r="B31" s="34" t="inlineStr">
        <is>
          <t>In-Use Data Cryptography</t>
        </is>
      </c>
      <c r="C31" s="34" t="inlineStr">
        <is>
          <t>V11.7.1</t>
        </is>
      </c>
      <c r="D31" s="34" t="inlineStr">
        <is>
          <t>Verify that full memory encryption is in use that protects sensitive data while it is in use, preventing access by unauthorized users or processes.</t>
        </is>
      </c>
      <c r="E31" s="40" t="n">
        <v>3</v>
      </c>
      <c r="F31" s="39" t="inlineStr">
        <is>
          <t>N/A</t>
        </is>
      </c>
      <c r="G31" s="34" t="inlineStr">
        <is>
          <t>Automatically marked out of scope: This is a managed JVM application without native pointer arithmetic or application-managed memory allocation.</t>
        </is>
      </c>
      <c r="H31" s="34" t="inlineStr">
        <is>
          <t>Automated scope inference</t>
        </is>
      </c>
      <c r="I31" s="30" t="inlineStr">
        <is>
          <t>Out of scope for VendNet as currently implemented, or the requirement does not apply to this REST API/backend.</t>
        </is>
      </c>
      <c r="J31" s="30" t="inlineStr">
        <is>
          <t>Scope inference</t>
        </is>
      </c>
      <c r="K31" s="30" t="inlineStr">
        <is>
          <t>Not required for current backend scope.</t>
        </is>
      </c>
      <c r="L31" s="30" t="inlineStr">
        <is>
          <t>This is a managed JVM application without native pointer arithmetic or application-managed memory allocation.</t>
        </is>
      </c>
      <c r="M31" s="30" t="inlineStr">
        <is>
          <t>Revisit if the application scope changes.</t>
        </is>
      </c>
    </row>
    <row r="32" ht="30" customHeight="1" s="26">
      <c r="A32" s="37" t="inlineStr">
        <is>
          <t>V11.7</t>
        </is>
      </c>
      <c r="B32" s="37" t="inlineStr">
        <is>
          <t>In-Use Data Cryptography</t>
        </is>
      </c>
      <c r="C32" s="37" t="inlineStr">
        <is>
          <t>V11.7.2</t>
        </is>
      </c>
      <c r="D32" s="37" t="inlineStr">
        <is>
          <t>Verify that data minimization ensures the minimal amount of data is exposed during processing, and ensure that data is encrypted immediately after use or as soon as feasible.</t>
        </is>
      </c>
      <c r="E32" s="40" t="n">
        <v>3</v>
      </c>
      <c r="F32" s="36" t="inlineStr">
        <is>
          <t>Compliant</t>
        </is>
      </c>
      <c r="G32" s="37" t="inlineStr">
        <is>
          <t>Automatically marked compliant from passing evidence: DTO response boundaries and unknown-field rejection; sensitive log data checks.</t>
        </is>
      </c>
      <c r="H32" s="37" t="inlineStr">
        <is>
          <t>SR-16; SR-45; ControllerUnitTests; GlobalExceptionHandlerTest; AuditLoggerTest; audit logging implementation detected</t>
        </is>
      </c>
      <c r="I32" s="30" t="inlineStr">
        <is>
          <t>Automatically inferred as implemented or justified from passing tests, source code, configuration, or build artifacts.</t>
        </is>
      </c>
      <c r="J32" s="30" t="inlineStr">
        <is>
          <t>Automated repository evidence</t>
        </is>
      </c>
      <c r="K32" s="30" t="inlineStr">
        <is>
          <t>ControllerUnitTests; GlobalExceptionHandlerTest; AuditLoggerTest; audit logging implementation detected</t>
        </is>
      </c>
      <c r="L32" s="30" t="inlineStr">
        <is>
          <t>DTO response boundaries and unknown-field rejection; sensitive log data checks</t>
        </is>
      </c>
      <c r="M32" s="30" t="inlineStr">
        <is>
          <t>Keep make asvs-tracker passing; reassess if code, tests, or scope changes.</t>
        </is>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4.xml><?xml version="1.0" encoding="utf-8"?>
<worksheet xmlns="http://schemas.openxmlformats.org/spreadsheetml/2006/main">
  <sheetPr>
    <outlinePr summaryBelow="1" summaryRight="1"/>
    <pageSetUpPr/>
  </sheetPr>
  <dimension ref="A1:M1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V12.1</t>
        </is>
      </c>
      <c r="B2" s="33" t="inlineStr">
        <is>
          <t>General TLS Security Guidance</t>
        </is>
      </c>
      <c r="C2" s="33" t="n"/>
      <c r="D2" s="33" t="n"/>
      <c r="E2" s="33" t="n"/>
      <c r="F2" s="33" t="n"/>
      <c r="G2" s="33" t="n"/>
      <c r="H2" s="33" t="n"/>
      <c r="I2" s="30" t="n"/>
      <c r="J2" s="30" t="n"/>
      <c r="K2" s="30" t="n"/>
      <c r="L2" s="30" t="n"/>
      <c r="M2" s="30" t="n"/>
    </row>
    <row r="3" ht="30" customHeight="1" s="26">
      <c r="A3" s="34" t="inlineStr">
        <is>
          <t>V12.1</t>
        </is>
      </c>
      <c r="B3" s="34" t="inlineStr">
        <is>
          <t>General TLS Security Guidance</t>
        </is>
      </c>
      <c r="C3" s="34" t="inlineStr">
        <is>
          <t>V12.1.1</t>
        </is>
      </c>
      <c r="D3" s="34" t="inlineStr">
        <is>
          <t>Verify that only the latest recommended versions of the TLS protocol are enabled, such as TLS 1.2 and TLS 1.3. The latest version of the TLS protocol must be the preferred option.</t>
        </is>
      </c>
      <c r="E3" s="38" t="n">
        <v>1</v>
      </c>
      <c r="F3" s="36" t="inlineStr">
        <is>
          <t>Compliant</t>
        </is>
      </c>
      <c r="G3" s="34" t="inlineStr">
        <is>
          <t>Automatically marked compliant from passing evidence: TLS configuration; machine mTLS authentication paths.</t>
        </is>
      </c>
      <c r="H3" s="34" t="inlineStr">
        <is>
          <t>SR-17; NFR-04; SR-18; application-prod.properties; X509MachineAuthenticationFilterTest; TelemetryServiceTest; X.509/mTLS machine authentication code detected</t>
        </is>
      </c>
      <c r="I3" s="30" t="inlineStr">
        <is>
          <t>Automatically inferred as implemented or justified from passing tests, source code, configuration, or build artifacts.</t>
        </is>
      </c>
      <c r="J3" s="30" t="inlineStr">
        <is>
          <t>Automated repository evidence</t>
        </is>
      </c>
      <c r="K3" s="30" t="inlineStr">
        <is>
          <t>application-prod.properties; X509MachineAuthenticationFilterTest; TelemetryServiceTest; X.509/mTLS machine authentication code detected</t>
        </is>
      </c>
      <c r="L3" s="30" t="inlineStr">
        <is>
          <t>TLS configuration; machine mTLS authentication paths</t>
        </is>
      </c>
      <c r="M3" s="30" t="inlineStr">
        <is>
          <t>Keep make asvs-tracker passing; reassess if code, tests, or scope changes.</t>
        </is>
      </c>
    </row>
    <row r="4" ht="30" customHeight="1" s="26">
      <c r="A4" s="37" t="inlineStr">
        <is>
          <t>V12.1</t>
        </is>
      </c>
      <c r="B4" s="37" t="inlineStr">
        <is>
          <t>General TLS Security Guidance</t>
        </is>
      </c>
      <c r="C4" s="37" t="inlineStr">
        <is>
          <t>V12.1.2</t>
        </is>
      </c>
      <c r="D4" s="37" t="inlineStr">
        <is>
          <t>Verify that only recommended cipher suites are enabled, with the strongest cipher suites set as preferred. L3 applications must only support cipher suites which provide forward secrecy.</t>
        </is>
      </c>
      <c r="E4" s="35" t="n">
        <v>2</v>
      </c>
      <c r="F4" s="36" t="inlineStr">
        <is>
          <t>Compliant</t>
        </is>
      </c>
      <c r="G4" s="37" t="inlineStr">
        <is>
          <t>Automatically marked compliant from passing evidence: TLS configuration; machine mTLS authentication paths.</t>
        </is>
      </c>
      <c r="H4" s="37" t="inlineStr">
        <is>
          <t>SR-17; SR-18; application-prod.properties; X509MachineAuthenticationFilterTest; TelemetryServiceTest; X.509/mTLS machine authentication code detected</t>
        </is>
      </c>
      <c r="I4" s="30" t="inlineStr">
        <is>
          <t>Automatically inferred as implemented or justified from passing tests, source code, configuration, or build artifacts.</t>
        </is>
      </c>
      <c r="J4" s="30" t="inlineStr">
        <is>
          <t>Automated repository evidence</t>
        </is>
      </c>
      <c r="K4" s="30" t="inlineStr">
        <is>
          <t>application-prod.properties; X509MachineAuthenticationFilterTest; TelemetryServiceTest; X.509/mTLS machine authentication code detected</t>
        </is>
      </c>
      <c r="L4" s="30" t="inlineStr">
        <is>
          <t>TLS configuration; machine mTLS authentication paths</t>
        </is>
      </c>
      <c r="M4" s="30" t="inlineStr">
        <is>
          <t>Keep make asvs-tracker passing; reassess if code, tests, or scope changes.</t>
        </is>
      </c>
    </row>
    <row r="5" ht="30" customHeight="1" s="26">
      <c r="A5" s="34" t="inlineStr">
        <is>
          <t>V12.1</t>
        </is>
      </c>
      <c r="B5" s="34" t="inlineStr">
        <is>
          <t>General TLS Security Guidance</t>
        </is>
      </c>
      <c r="C5" s="34" t="inlineStr">
        <is>
          <t>V12.1.3</t>
        </is>
      </c>
      <c r="D5" s="34" t="inlineStr">
        <is>
          <t>Verify that the application validates that mTLS client certificates are trusted before using the certificate identity for authentication or authorization.</t>
        </is>
      </c>
      <c r="E5" s="35" t="n">
        <v>2</v>
      </c>
      <c r="F5" s="36" t="inlineStr">
        <is>
          <t>Compliant</t>
        </is>
      </c>
      <c r="G5" s="34" t="inlineStr">
        <is>
          <t>Automatically marked compliant from passing evidence: machine mTLS authentication paths; administrator MFA; account status validation; failed-login lockout behaviour; RBAC roles and endpoint isolation; controller/service authorization guardrails; user data access isolation; TLS configuration.</t>
        </is>
      </c>
      <c r="H5" s="34" t="inlineStr">
        <is>
          <t>SR-18; SR-22; NFR-15; SR-01; SR-05; SR-07; SR-02; SR-06; SR-08; SR-17; X509MachineAuthenticationFilterTest; TelemetryServiceTest; AuthServiceTest; AuthControllerIntegrationTest; SystemFunctionalTests; RbacIntegrationTest; SecurityAnnotationArchTest; application-prod.properties; MFA/TOTP code and tests detected; Spring method security and RBAC annotations detected; X.509/mTLS machine authentication code detected</t>
        </is>
      </c>
      <c r="I5" s="30" t="inlineStr">
        <is>
          <t>Automatically inferred as implemented or justified from passing tests, source code, configuration, or build artifacts.</t>
        </is>
      </c>
      <c r="J5" s="30" t="inlineStr">
        <is>
          <t>Automated repository evidence</t>
        </is>
      </c>
      <c r="K5" s="30" t="inlineStr">
        <is>
          <t>X509MachineAuthenticationFilterTest; TelemetryServiceTest; AuthServiceTest; AuthControllerIntegrationTest; SystemFunctionalTests; RbacIntegrationTest; SecurityAnnotationArchTest; application-prod.properties; MFA/TOTP code and tests detected; Spring method security and RBAC annotations detected; X.509/mTLS machine authentication code detected</t>
        </is>
      </c>
      <c r="L5" s="30" t="inlineStr">
        <is>
          <t>machine mTLS authentication paths; administrator MFA; account status validation; failed-login lockout behaviour; RBAC roles and endpoint isolation; controller/service authorization guardrails; user data access isolation; TLS configuration</t>
        </is>
      </c>
      <c r="M5" s="30" t="inlineStr">
        <is>
          <t>Keep make asvs-tracker passing; reassess if code, tests, or scope changes.</t>
        </is>
      </c>
    </row>
    <row r="6" ht="30" customHeight="1" s="26">
      <c r="A6" s="37" t="inlineStr">
        <is>
          <t>V12.1</t>
        </is>
      </c>
      <c r="B6" s="37" t="inlineStr">
        <is>
          <t>General TLS Security Guidance</t>
        </is>
      </c>
      <c r="C6" s="37" t="inlineStr">
        <is>
          <t>V12.1.4</t>
        </is>
      </c>
      <c r="D6" s="37" t="inlineStr">
        <is>
          <t>Verify that proper certification revocation, such as Online Certificate Status Protocol (OCSP) Stapling, is enabled and configured.</t>
        </is>
      </c>
      <c r="E6" s="40" t="n">
        <v>3</v>
      </c>
      <c r="F6" s="36" t="inlineStr">
        <is>
          <t>Compliant</t>
        </is>
      </c>
      <c r="G6" s="37" t="inlineStr">
        <is>
          <t>Automatically marked compliant from passing evidence: TLS configuration; machine mTLS authentication paths.</t>
        </is>
      </c>
      <c r="H6" s="37" t="inlineStr">
        <is>
          <t>SR-68; SR-70; SR-17; SR-18; application-prod.properties; X509MachineAuthenticationFilterTest; TelemetryServiceTest; X.509/mTLS machine authentication code detected</t>
        </is>
      </c>
      <c r="I6" s="30" t="inlineStr">
        <is>
          <t>Automatically inferred as implemented or justified from passing tests, source code, configuration, or build artifacts.</t>
        </is>
      </c>
      <c r="J6" s="30" t="inlineStr">
        <is>
          <t>Automated repository evidence</t>
        </is>
      </c>
      <c r="K6" s="30" t="inlineStr">
        <is>
          <t>application-prod.properties; X509MachineAuthenticationFilterTest; TelemetryServiceTest; X.509/mTLS machine authentication code detected</t>
        </is>
      </c>
      <c r="L6" s="30" t="inlineStr">
        <is>
          <t>TLS configuration; machine mTLS authentication paths</t>
        </is>
      </c>
      <c r="M6" s="30" t="inlineStr">
        <is>
          <t>Keep make asvs-tracker passing; reassess if code, tests, or scope changes.</t>
        </is>
      </c>
    </row>
    <row r="7" ht="30" customHeight="1" s="26">
      <c r="A7" s="34" t="inlineStr">
        <is>
          <t>V12.1</t>
        </is>
      </c>
      <c r="B7" s="34" t="inlineStr">
        <is>
          <t>General TLS Security Guidance</t>
        </is>
      </c>
      <c r="C7" s="34" t="inlineStr">
        <is>
          <t>V12.1.5</t>
        </is>
      </c>
      <c r="D7" s="34" t="inlineStr">
        <is>
          <t>Verify that Encrypted Client Hello (ECH) is enabled in the application's TLS settings to prevent exposure of sensitive metadata, such as the Server Name Indication (SNI), during TLS handshake processes.</t>
        </is>
      </c>
      <c r="E7" s="40" t="n">
        <v>3</v>
      </c>
      <c r="F7" s="36" t="inlineStr">
        <is>
          <t>Compliant</t>
        </is>
      </c>
      <c r="G7" s="34" t="inlineStr">
        <is>
          <t>Automatically marked compliant from passing evidence: TLS configuration; machine mTLS authentication paths.</t>
        </is>
      </c>
      <c r="H7" s="34" t="inlineStr">
        <is>
          <t>SR-17; SR-18; application-prod.properties; X509MachineAuthenticationFilterTest; TelemetryServiceTest; X.509/mTLS machine authentication code detected</t>
        </is>
      </c>
      <c r="I7" s="30" t="inlineStr">
        <is>
          <t>Automatically inferred as implemented or justified from passing tests, source code, configuration, or build artifacts.</t>
        </is>
      </c>
      <c r="J7" s="30" t="inlineStr">
        <is>
          <t>Automated repository evidence</t>
        </is>
      </c>
      <c r="K7" s="30" t="inlineStr">
        <is>
          <t>application-prod.properties; X509MachineAuthenticationFilterTest; TelemetryServiceTest; X.509/mTLS machine authentication code detected</t>
        </is>
      </c>
      <c r="L7" s="30" t="inlineStr">
        <is>
          <t>TLS configuration; machine mTLS authentication paths</t>
        </is>
      </c>
      <c r="M7" s="30" t="inlineStr">
        <is>
          <t>Keep make asvs-tracker passing; reassess if code, tests, or scope changes.</t>
        </is>
      </c>
    </row>
    <row r="8" ht="18" customHeight="1" s="26">
      <c r="A8" s="33" t="inlineStr">
        <is>
          <t>V12.2</t>
        </is>
      </c>
      <c r="B8" s="33" t="inlineStr">
        <is>
          <t>HTTPS Communication with External Facing Services</t>
        </is>
      </c>
      <c r="C8" s="33" t="n"/>
      <c r="D8" s="33" t="n"/>
      <c r="E8" s="33" t="n"/>
      <c r="F8" s="33" t="n"/>
      <c r="G8" s="33" t="n"/>
      <c r="H8" s="33" t="n"/>
      <c r="I8" s="30" t="n"/>
      <c r="J8" s="30" t="n"/>
      <c r="K8" s="30" t="n"/>
      <c r="L8" s="30" t="n"/>
      <c r="M8" s="30" t="n"/>
    </row>
    <row r="9" ht="30" customHeight="1" s="26">
      <c r="A9" s="34" t="inlineStr">
        <is>
          <t>V12.2</t>
        </is>
      </c>
      <c r="B9" s="34" t="inlineStr">
        <is>
          <t>HTTPS Communication with External Facing Services</t>
        </is>
      </c>
      <c r="C9" s="34" t="inlineStr">
        <is>
          <t>V12.2.1</t>
        </is>
      </c>
      <c r="D9" s="34" t="inlineStr">
        <is>
          <t>Verify that TLS is used for all connectivity between a client and external facing, HTTP-based services, and does not fall back to insecure or unencrypted communications.</t>
        </is>
      </c>
      <c r="E9" s="38" t="n">
        <v>1</v>
      </c>
      <c r="F9" s="36" t="inlineStr">
        <is>
          <t>Compliant</t>
        </is>
      </c>
      <c r="G9" s="34" t="inlineStr">
        <is>
          <t>Automatically marked compliant from passing evidence: TLS configuration; machine mTLS authentication paths.</t>
        </is>
      </c>
      <c r="H9" s="34" t="inlineStr">
        <is>
          <t>SR-17; SR-35; SR-36; SR-18; application-prod.properties; X509MachineAuthenticationFilterTest; TelemetryServiceTest; X.509/mTLS machine authentication code detected</t>
        </is>
      </c>
      <c r="I9" s="30" t="inlineStr">
        <is>
          <t>Automatically inferred as implemented or justified from passing tests, source code, configuration, or build artifacts.</t>
        </is>
      </c>
      <c r="J9" s="30" t="inlineStr">
        <is>
          <t>Automated repository evidence</t>
        </is>
      </c>
      <c r="K9" s="30" t="inlineStr">
        <is>
          <t>application-prod.properties; X509MachineAuthenticationFilterTest; TelemetryServiceTest; X.509/mTLS machine authentication code detected</t>
        </is>
      </c>
      <c r="L9" s="30" t="inlineStr">
        <is>
          <t>TLS configuration; machine mTLS authentication paths</t>
        </is>
      </c>
      <c r="M9" s="30" t="inlineStr">
        <is>
          <t>Keep make asvs-tracker passing; reassess if code, tests, or scope changes.</t>
        </is>
      </c>
    </row>
    <row r="10" ht="30" customHeight="1" s="26">
      <c r="A10" s="37" t="inlineStr">
        <is>
          <t>V12.2</t>
        </is>
      </c>
      <c r="B10" s="37" t="inlineStr">
        <is>
          <t>HTTPS Communication with External Facing Services</t>
        </is>
      </c>
      <c r="C10" s="37" t="inlineStr">
        <is>
          <t>V12.2.2</t>
        </is>
      </c>
      <c r="D10" s="37" t="inlineStr">
        <is>
          <t>Verify that external facing services use publicly trusted TLS certificates.</t>
        </is>
      </c>
      <c r="E10" s="38" t="n">
        <v>1</v>
      </c>
      <c r="F10" s="36" t="inlineStr">
        <is>
          <t>Compliant</t>
        </is>
      </c>
      <c r="G10" s="37" t="inlineStr">
        <is>
          <t>Automatically marked compliant from passing evidence: TLS configuration; machine mTLS authentication paths.</t>
        </is>
      </c>
      <c r="H10" s="37" t="inlineStr">
        <is>
          <t>SR-35; SR-17; SR-18; application-prod.properties; X509MachineAuthenticationFilterTest; TelemetryServiceTest; X.509/mTLS machine authentication code detected</t>
        </is>
      </c>
      <c r="I10" s="30" t="inlineStr">
        <is>
          <t>Automatically inferred as implemented or justified from passing tests, source code, configuration, or build artifacts.</t>
        </is>
      </c>
      <c r="J10" s="30" t="inlineStr">
        <is>
          <t>Automated repository evidence</t>
        </is>
      </c>
      <c r="K10" s="30" t="inlineStr">
        <is>
          <t>application-prod.properties; X509MachineAuthenticationFilterTest; TelemetryServiceTest; X.509/mTLS machine authentication code detected</t>
        </is>
      </c>
      <c r="L10" s="30" t="inlineStr">
        <is>
          <t>TLS configuration; machine mTLS authentication paths</t>
        </is>
      </c>
      <c r="M10" s="30" t="inlineStr">
        <is>
          <t>Keep make asvs-tracker passing; reassess if code, tests, or scope changes.</t>
        </is>
      </c>
    </row>
    <row r="11" ht="18" customHeight="1" s="26">
      <c r="A11" s="33" t="inlineStr">
        <is>
          <t>V12.3</t>
        </is>
      </c>
      <c r="B11" s="33" t="inlineStr">
        <is>
          <t>General Service to Service Communication Security</t>
        </is>
      </c>
      <c r="C11" s="33" t="n"/>
      <c r="D11" s="33" t="n"/>
      <c r="E11" s="33" t="n"/>
      <c r="F11" s="33" t="n"/>
      <c r="G11" s="33" t="n"/>
      <c r="H11" s="33" t="n"/>
      <c r="I11" s="30" t="n"/>
      <c r="J11" s="30" t="n"/>
      <c r="K11" s="30" t="n"/>
      <c r="L11" s="30" t="n"/>
      <c r="M11" s="30" t="n"/>
    </row>
    <row r="12" ht="30" customHeight="1" s="26">
      <c r="A12" s="34" t="inlineStr">
        <is>
          <t>V12.3</t>
        </is>
      </c>
      <c r="B12" s="34" t="inlineStr">
        <is>
          <t>General Service to Service Communication Security</t>
        </is>
      </c>
      <c r="C12" s="34" t="inlineStr">
        <is>
          <t>V12.3.1</t>
        </is>
      </c>
      <c r="D12" s="34"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35" t="n">
        <v>2</v>
      </c>
      <c r="F12" s="36" t="inlineStr">
        <is>
          <t>Compliant</t>
        </is>
      </c>
      <c r="G12" s="34" t="inlineStr">
        <is>
          <t>Automatically marked compliant from passing evidence: TLS configuration; machine mTLS authentication paths.</t>
        </is>
      </c>
      <c r="H12" s="34" t="inlineStr">
        <is>
          <t>SR-17; SR-35; SR-36; SR-18; application-prod.properties; X509MachineAuthenticationFilterTest; TelemetryServiceTest; X.509/mTLS machine authentication code detected</t>
        </is>
      </c>
      <c r="I12" s="30" t="inlineStr">
        <is>
          <t>Automatically inferred as implemented or justified from passing tests, source code, configuration, or build artifacts.</t>
        </is>
      </c>
      <c r="J12" s="30" t="inlineStr">
        <is>
          <t>Automated repository evidence</t>
        </is>
      </c>
      <c r="K12" s="30" t="inlineStr">
        <is>
          <t>application-prod.properties; X509MachineAuthenticationFilterTest; TelemetryServiceTest; X.509/mTLS machine authentication code detected</t>
        </is>
      </c>
      <c r="L12" s="30" t="inlineStr">
        <is>
          <t>TLS configuration; machine mTLS authentication paths</t>
        </is>
      </c>
      <c r="M12" s="30" t="inlineStr">
        <is>
          <t>Keep make asvs-tracker passing; reassess if code, tests, or scope changes.</t>
        </is>
      </c>
    </row>
    <row r="13" ht="30" customHeight="1" s="26">
      <c r="A13" s="37" t="inlineStr">
        <is>
          <t>V12.3</t>
        </is>
      </c>
      <c r="B13" s="37" t="inlineStr">
        <is>
          <t>General Service to Service Communication Security</t>
        </is>
      </c>
      <c r="C13" s="37" t="inlineStr">
        <is>
          <t>V12.3.2</t>
        </is>
      </c>
      <c r="D13" s="37" t="inlineStr">
        <is>
          <t>Verify that TLS clients validate certificates received before communicating with a TLS server.</t>
        </is>
      </c>
      <c r="E13" s="35" t="n">
        <v>2</v>
      </c>
      <c r="F13" s="36" t="inlineStr">
        <is>
          <t>Compliant</t>
        </is>
      </c>
      <c r="G13" s="37" t="inlineStr">
        <is>
          <t>Automatically marked compliant from passing evidence: TLS configuration; machine mTLS authentication paths.</t>
        </is>
      </c>
      <c r="H13" s="37" t="inlineStr">
        <is>
          <t>SR-35; SR-17; SR-18; application-prod.properties; X509MachineAuthenticationFilterTest; TelemetryServiceTest; X.509/mTLS machine authentication code detected</t>
        </is>
      </c>
      <c r="I13" s="30" t="inlineStr">
        <is>
          <t>Automatically inferred as implemented or justified from passing tests, source code, configuration, or build artifacts.</t>
        </is>
      </c>
      <c r="J13" s="30" t="inlineStr">
        <is>
          <t>Automated repository evidence</t>
        </is>
      </c>
      <c r="K13" s="30" t="inlineStr">
        <is>
          <t>application-prod.properties; X509MachineAuthenticationFilterTest; TelemetryServiceTest; X.509/mTLS machine authentication code detected</t>
        </is>
      </c>
      <c r="L13" s="30" t="inlineStr">
        <is>
          <t>TLS configuration; machine mTLS authentication paths</t>
        </is>
      </c>
      <c r="M13" s="30" t="inlineStr">
        <is>
          <t>Keep make asvs-tracker passing; reassess if code, tests, or scope changes.</t>
        </is>
      </c>
    </row>
    <row r="14" ht="30" customHeight="1" s="26">
      <c r="A14" s="34" t="inlineStr">
        <is>
          <t>V12.3</t>
        </is>
      </c>
      <c r="B14" s="34" t="inlineStr">
        <is>
          <t>General Service to Service Communication Security</t>
        </is>
      </c>
      <c r="C14" s="34" t="inlineStr">
        <is>
          <t>V12.3.3</t>
        </is>
      </c>
      <c r="D14" s="34" t="inlineStr">
        <is>
          <t>Verify that TLS or another appropriate transport encryption mechanism used for all connectivity between internal, HTTP-based services within the application, and does not fall back to insecure or unencrypted communications.</t>
        </is>
      </c>
      <c r="E14" s="35" t="n">
        <v>2</v>
      </c>
      <c r="F14" s="36" t="inlineStr">
        <is>
          <t>Compliant</t>
        </is>
      </c>
      <c r="G14" s="34" t="inlineStr">
        <is>
          <t>Automatically marked compliant from passing evidence: TLS configuration; machine mTLS authentication paths.</t>
        </is>
      </c>
      <c r="H14" s="34" t="inlineStr">
        <is>
          <t>SR-17; SR-18; application-prod.properties; X509MachineAuthenticationFilterTest; TelemetryServiceTest; X.509/mTLS machine authentication code detected</t>
        </is>
      </c>
      <c r="I14" s="30" t="inlineStr">
        <is>
          <t>Automatically inferred as implemented or justified from passing tests, source code, configuration, or build artifacts.</t>
        </is>
      </c>
      <c r="J14" s="30" t="inlineStr">
        <is>
          <t>Automated repository evidence</t>
        </is>
      </c>
      <c r="K14" s="30" t="inlineStr">
        <is>
          <t>application-prod.properties; X509MachineAuthenticationFilterTest; TelemetryServiceTest; X.509/mTLS machine authentication code detected</t>
        </is>
      </c>
      <c r="L14" s="30" t="inlineStr">
        <is>
          <t>TLS configuration; machine mTLS authentication paths</t>
        </is>
      </c>
      <c r="M14" s="30" t="inlineStr">
        <is>
          <t>Keep make asvs-tracker passing; reassess if code, tests, or scope changes.</t>
        </is>
      </c>
    </row>
    <row r="15" ht="30" customHeight="1" s="26">
      <c r="A15" s="37" t="inlineStr">
        <is>
          <t>V12.3</t>
        </is>
      </c>
      <c r="B15" s="37" t="inlineStr">
        <is>
          <t>General Service to Service Communication Security</t>
        </is>
      </c>
      <c r="C15" s="37" t="inlineStr">
        <is>
          <t>V12.3.4</t>
        </is>
      </c>
      <c r="D15" s="37"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35" t="n">
        <v>2</v>
      </c>
      <c r="F15" s="36" t="inlineStr">
        <is>
          <t>Compliant</t>
        </is>
      </c>
      <c r="G15" s="37" t="inlineStr">
        <is>
          <t>Automatically marked compliant from passing evidence: machine mTLS authentication paths; TLS configuration.</t>
        </is>
      </c>
      <c r="H15" s="37" t="inlineStr">
        <is>
          <t>SR-18; SR-21; SR-22; SR-17; X509MachineAuthenticationFilterTest; TelemetryServiceTest; application-prod.properties; X.509/mTLS machine authentication code detected</t>
        </is>
      </c>
      <c r="I15" s="30" t="inlineStr">
        <is>
          <t>Automatically inferred as implemented or justified from passing tests, source code, configuration, or build artifacts.</t>
        </is>
      </c>
      <c r="J15" s="30" t="inlineStr">
        <is>
          <t>Automated repository evidence</t>
        </is>
      </c>
      <c r="K15" s="30" t="inlineStr">
        <is>
          <t>X509MachineAuthenticationFilterTest; TelemetryServiceTest; application-prod.properties; X.509/mTLS machine authentication code detected</t>
        </is>
      </c>
      <c r="L15" s="30" t="inlineStr">
        <is>
          <t>machine mTLS authentication paths; TLS configuration</t>
        </is>
      </c>
      <c r="M15" s="30" t="inlineStr">
        <is>
          <t>Keep make asvs-tracker passing; reassess if code, tests, or scope changes.</t>
        </is>
      </c>
    </row>
    <row r="16" ht="30" customHeight="1" s="26">
      <c r="A16" s="34" t="inlineStr">
        <is>
          <t>V12.3</t>
        </is>
      </c>
      <c r="B16" s="34" t="inlineStr">
        <is>
          <t>General Service to Service Communication Security</t>
        </is>
      </c>
      <c r="C16" s="34" t="inlineStr">
        <is>
          <t>V12.3.5</t>
        </is>
      </c>
      <c r="D16" s="34"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40" t="n">
        <v>3</v>
      </c>
      <c r="F16" s="36" t="inlineStr">
        <is>
          <t>Compliant</t>
        </is>
      </c>
      <c r="G16" s="34" t="inlineStr">
        <is>
          <t>Automatically marked compliant from passing evidence: machine mTLS authentication paths; administrator MFA; account status validation; failed-login lockout behaviour; TLS configuration.</t>
        </is>
      </c>
      <c r="H16" s="34" t="inlineStr">
        <is>
          <t>SR-18; SR-23; SR-69; SR-01; SR-05; SR-07; SR-17; X509MachineAuthenticationFilterTest; TelemetryServiceTest; AuthServiceTest; AuthControllerIntegrationTest; SystemFunctionalTests; application-prod.properties; MFA/TOTP code and tests detected; X.509/mTLS machine authentication code detected</t>
        </is>
      </c>
      <c r="I16" s="30" t="inlineStr">
        <is>
          <t>Automatically inferred as implemented or justified from passing tests, source code, configuration, or build artifacts.</t>
        </is>
      </c>
      <c r="J16" s="30" t="inlineStr">
        <is>
          <t>Automated repository evidence</t>
        </is>
      </c>
      <c r="K16" s="30" t="inlineStr">
        <is>
          <t>X509MachineAuthenticationFilterTest; TelemetryServiceTest; AuthServiceTest; AuthControllerIntegrationTest; SystemFunctionalTests; application-prod.properties; MFA/TOTP code and tests detected; X.509/mTLS machine authentication code detected</t>
        </is>
      </c>
      <c r="L16" s="30" t="inlineStr">
        <is>
          <t>machine mTLS authentication paths; administrator MFA; account status validation; failed-login lockout behaviour; TLS configuration</t>
        </is>
      </c>
      <c r="M16" s="30" t="inlineStr">
        <is>
          <t>Keep make asvs-tracker passing; reassess if code, tests, or scope changes.</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5.xml><?xml version="1.0" encoding="utf-8"?>
<worksheet xmlns="http://schemas.openxmlformats.org/spreadsheetml/2006/main">
  <sheetPr>
    <outlinePr summaryBelow="1" summaryRight="1"/>
    <pageSetUpPr/>
  </sheetPr>
  <dimension ref="A1:M2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V13.1</t>
        </is>
      </c>
      <c r="B2" s="33" t="inlineStr">
        <is>
          <t>Configuration Documentation</t>
        </is>
      </c>
      <c r="C2" s="33" t="n"/>
      <c r="D2" s="33" t="n"/>
      <c r="E2" s="33" t="n"/>
      <c r="F2" s="33" t="n"/>
      <c r="G2" s="33" t="n"/>
      <c r="H2" s="33" t="n"/>
      <c r="I2" s="30" t="n"/>
      <c r="J2" s="30" t="n"/>
      <c r="K2" s="30" t="n"/>
      <c r="L2" s="30" t="n"/>
      <c r="M2" s="30" t="n"/>
    </row>
    <row r="3" ht="30" customHeight="1" s="26">
      <c r="A3" s="34" t="inlineStr">
        <is>
          <t>V13.1</t>
        </is>
      </c>
      <c r="B3" s="34" t="inlineStr">
        <is>
          <t>Configuration Documentation</t>
        </is>
      </c>
      <c r="C3" s="34" t="inlineStr">
        <is>
          <t>V13.1.1</t>
        </is>
      </c>
      <c r="D3" s="34"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35" t="n">
        <v>2</v>
      </c>
      <c r="F3" s="36" t="inlineStr">
        <is>
          <t>Compliant</t>
        </is>
      </c>
      <c r="G3" s="34" t="inlineStr">
        <is>
          <t>Automatically marked compliant from passing evidence: secrets externalized through configuration; pinned dependency rules.</t>
        </is>
      </c>
      <c r="H3" s="34" t="inlineStr">
        <is>
          <t>SR-21; SR-22; SR-11; SR-34; GitHub Actions secret scan; application-prod.properties; Maven Enforcer; pom.xml; SCA/SBOM/enforcer configuration detected; CI secret/security scanning configuration detected</t>
        </is>
      </c>
      <c r="I3" s="30" t="inlineStr">
        <is>
          <t>Automatically inferred as implemented or justified from passing tests, source code, configuration, or build artifacts.</t>
        </is>
      </c>
      <c r="J3" s="30" t="inlineStr">
        <is>
          <t>Automated repository evidence</t>
        </is>
      </c>
      <c r="K3" s="30" t="inlineStr">
        <is>
          <t>GitHub Actions secret scan; application-prod.properties; Maven Enforcer; pom.xml; SCA/SBOM/enforcer configuration detected; CI secret/security scanning configuration detected</t>
        </is>
      </c>
      <c r="L3" s="30" t="inlineStr">
        <is>
          <t>secrets externalized through configuration; pinned dependency rules</t>
        </is>
      </c>
      <c r="M3" s="30" t="inlineStr">
        <is>
          <t>Keep make asvs-tracker passing; reassess if code, tests, or scope changes.</t>
        </is>
      </c>
    </row>
    <row r="4" ht="30" customHeight="1" s="26">
      <c r="A4" s="37" t="inlineStr">
        <is>
          <t>V13.1</t>
        </is>
      </c>
      <c r="B4" s="37" t="inlineStr">
        <is>
          <t>Configuration Documentation</t>
        </is>
      </c>
      <c r="C4" s="37" t="inlineStr">
        <is>
          <t>V13.1.2</t>
        </is>
      </c>
      <c r="D4" s="37"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40" t="n">
        <v>3</v>
      </c>
      <c r="F4" s="36" t="inlineStr">
        <is>
          <t>Compliant</t>
        </is>
      </c>
      <c r="G4" s="37" t="inlineStr">
        <is>
          <t>Automatically marked compliant from passing evidence: transaction and stock consistency; server-side price enforcement; stock limit validation; client-supplied price abuse-case regression; TOCTOU/stock race abuse-case regression; secrets externalized through configuration; pinned dependency rules.</t>
        </is>
      </c>
      <c r="H4" s="37" t="inlineStr">
        <is>
          <t>SR-15; SR-24; SR-25; AC-03; AC-07; SR-11; SR-34; SaleServiceTest; SlotServiceTest; AbuseCaseRegressionTest; GitHub Actions secret scan; application-prod.properties; Maven Enforcer; pom.xml; SCA/SBOM/enforcer configuration detected; CI secret/security scanning configuration detected</t>
        </is>
      </c>
      <c r="I4" s="30" t="inlineStr">
        <is>
          <t>Automatically inferred as implemented or justified from passing tests, source code, configuration, or build artifacts.</t>
        </is>
      </c>
      <c r="J4" s="30" t="inlineStr">
        <is>
          <t>Automated repository evidence</t>
        </is>
      </c>
      <c r="K4" s="30" t="inlineStr">
        <is>
          <t>SaleServiceTest; SlotServiceTest; AbuseCaseRegressionTest; GitHub Actions secret scan; application-prod.properties; Maven Enforcer; pom.xml; SCA/SBOM/enforcer configuration detected; CI secret/security scanning configuration detected</t>
        </is>
      </c>
      <c r="L4" s="30" t="inlineStr">
        <is>
          <t>transaction and stock consistency; server-side price enforcement; stock limit validation; client-supplied price abuse-case regression; TOCTOU/stock race abuse-case regression; secrets externalized through configuration; pinned dependency rules</t>
        </is>
      </c>
      <c r="M4" s="30" t="inlineStr">
        <is>
          <t>Keep make asvs-tracker passing; reassess if code, tests, or scope changes.</t>
        </is>
      </c>
    </row>
    <row r="5" ht="30" customHeight="1" s="26">
      <c r="A5" s="34" t="inlineStr">
        <is>
          <t>V13.1</t>
        </is>
      </c>
      <c r="B5" s="34" t="inlineStr">
        <is>
          <t>Configuration Documentation</t>
        </is>
      </c>
      <c r="C5" s="34" t="inlineStr">
        <is>
          <t>V13.1.3</t>
        </is>
      </c>
      <c r="D5" s="34"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40" t="n">
        <v>3</v>
      </c>
      <c r="F5" s="36" t="inlineStr">
        <is>
          <t>Compliant</t>
        </is>
      </c>
      <c r="G5" s="34" t="inlineStr">
        <is>
          <t>Automatically marked compliant from passing evidence: path traversal and report sandboxing; unsafe path/link handling; path traversal abuse-case regression; authentication audit logging; sensitive log data checks; safe error response checks; secrets externalized through configuration; pinned dependency rules.</t>
        </is>
      </c>
      <c r="H5" s="34" t="inlineStr">
        <is>
          <t>SR-36; SR-26; SR-27; AC-06; SR-37; SR-45; SR-46; SR-11; SR-34; PathValidatorImplTest; ReportDirectoryServiceImplTest; AbuseCaseRegressionTest; AuthServiceTest; AuditLoggerTest; GlobalExceptionHandlerTest; ControllerIntegrationTests; GitHub Actions secret scan; application-prod.properties; Maven Enforcer; pom.xml; path validation and report sandbox code detected; audit logging implementation detected; SCA/SBOM/enforcer configuration detected; centralized safe error handling detected; CI secret/security scanning configuration detected</t>
        </is>
      </c>
      <c r="I5" s="30" t="inlineStr">
        <is>
          <t>Automatically inferred as implemented or justified from passing tests, source code, configuration, or build artifacts.</t>
        </is>
      </c>
      <c r="J5" s="30" t="inlineStr">
        <is>
          <t>Automated repository evidence</t>
        </is>
      </c>
      <c r="K5" s="30" t="inlineStr">
        <is>
          <t>PathValidatorImplTest; ReportDirectoryServiceImplTest; AbuseCaseRegressionTest; AuthServiceTest; AuditLoggerTest; GlobalExceptionHandlerTest; ControllerIntegrationTests; GitHub Actions secret scan; application-prod.properties; Maven Enforcer; pom.xml; path validation and report sandbox code detected; audit logging implementation detected; SCA/SBOM/enforcer configuration detected; centralized safe error handling detected; CI secret/security scanning configuration detected</t>
        </is>
      </c>
      <c r="L5" s="30" t="inlineStr">
        <is>
          <t>path traversal and report sandboxing; unsafe path/link handling; path traversal abuse-case regression; authentication audit logging; sensitive log data checks; safe error response checks; secrets externalized through configuration; pinned dependency rules</t>
        </is>
      </c>
      <c r="M5" s="30" t="inlineStr">
        <is>
          <t>Keep make asvs-tracker passing; reassess if code, tests, or scope changes.</t>
        </is>
      </c>
    </row>
    <row r="6" ht="30" customHeight="1" s="26">
      <c r="A6" s="37" t="inlineStr">
        <is>
          <t>V13.1</t>
        </is>
      </c>
      <c r="B6" s="37" t="inlineStr">
        <is>
          <t>Configuration Documentation</t>
        </is>
      </c>
      <c r="C6" s="37" t="inlineStr">
        <is>
          <t>V13.1.4</t>
        </is>
      </c>
      <c r="D6" s="37" t="inlineStr">
        <is>
          <t>Verify that the application's documentation defines the secrets that are critical for the security of the application and a schedule for rotating them, based on the organization's threat model and business requirements.</t>
        </is>
      </c>
      <c r="E6" s="40" t="n">
        <v>3</v>
      </c>
      <c r="F6" s="36" t="inlineStr">
        <is>
          <t>Compliant</t>
        </is>
      </c>
      <c r="G6" s="37" t="inlineStr">
        <is>
          <t>Automatically marked compliant from passing evidence: payload/request limit coverage; JWT key strength and server-side signing; secrets externalized through configuration; pinned dependency rules.</t>
        </is>
      </c>
      <c r="H6" s="37" t="inlineStr">
        <is>
          <t>SR-30; SR-04; SR-11; SR-34; SystemFunctionalTests; application.properties; JwtServiceTest; JwtAuthenticationFilterTest; GitHub Actions secret scan; application-prod.properties; Maven Enforcer; pom.xml; JWT service and signing/filter code detected; Bean Validation and request-shape controls detected; SCA/SBOM/enforcer configuration detected; CI secret/security scanning configuration detected</t>
        </is>
      </c>
      <c r="I6" s="30" t="inlineStr">
        <is>
          <t>Automatically inferred as implemented or justified from passing tests, source code, configuration, or build artifacts.</t>
        </is>
      </c>
      <c r="J6" s="30" t="inlineStr">
        <is>
          <t>Automated repository evidence</t>
        </is>
      </c>
      <c r="K6" s="30" t="inlineStr">
        <is>
          <t>SystemFunctionalTests; application.properties; JwtServiceTest; JwtAuthenticationFilterTest; GitHub Actions secret scan; application-prod.properties; Maven Enforcer; pom.xml; JWT service and signing/filter code detected; Bean Validation and request-shape controls detected; SCA/SBOM/enforcer configuration detected; CI secret/security scanning configuration detected</t>
        </is>
      </c>
      <c r="L6" s="30" t="inlineStr">
        <is>
          <t>payload/request limit coverage; JWT key strength and server-side signing; secrets externalized through configuration; pinned dependency rules</t>
        </is>
      </c>
      <c r="M6" s="30" t="inlineStr">
        <is>
          <t>Keep make asvs-tracker passing; reassess if code, tests, or scope changes.</t>
        </is>
      </c>
    </row>
    <row r="7" ht="18" customHeight="1" s="26">
      <c r="A7" s="33" t="inlineStr">
        <is>
          <t>V13.2</t>
        </is>
      </c>
      <c r="B7" s="33" t="inlineStr">
        <is>
          <t>Backend Communication Configuration</t>
        </is>
      </c>
      <c r="C7" s="33" t="n"/>
      <c r="D7" s="33" t="n"/>
      <c r="E7" s="33" t="n"/>
      <c r="F7" s="33" t="n"/>
      <c r="G7" s="33" t="n"/>
      <c r="H7" s="33" t="n"/>
      <c r="I7" s="30" t="n"/>
      <c r="J7" s="30" t="n"/>
      <c r="K7" s="30" t="n"/>
      <c r="L7" s="30" t="n"/>
      <c r="M7" s="30" t="n"/>
    </row>
    <row r="8" ht="30" customHeight="1" s="26">
      <c r="A8" s="34" t="inlineStr">
        <is>
          <t>V13.2</t>
        </is>
      </c>
      <c r="B8" s="34" t="inlineStr">
        <is>
          <t>Backend Communication Configuration</t>
        </is>
      </c>
      <c r="C8" s="34" t="inlineStr">
        <is>
          <t>V13.2.1</t>
        </is>
      </c>
      <c r="D8" s="34"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35" t="n">
        <v>2</v>
      </c>
      <c r="F8" s="36" t="inlineStr">
        <is>
          <t>Compliant</t>
        </is>
      </c>
      <c r="G8" s="34" t="inlineStr">
        <is>
          <t>Automatically marked compliant from passing evidence: machine mTLS authentication paths; JWT signature and algorithm validation; JWT key strength and server-side signing; administrator MFA; account status validation; failed-login lockout behaviour; dependency governance and SBOM; dependency update monitoring; pinned dependency rules; TLS configuration; secrets externalized through configuration.</t>
        </is>
      </c>
      <c r="H8" s="34" t="inlineStr">
        <is>
          <t>SR-18; SR-22; SR-03; SR-04; SR-01; SR-05; SR-07; SR-32; SR-33; SR-34; SR-17; SR-11; X509MachineAuthenticationFilterTest; TelemetryServiceTest; AbuseCaseRegressionTest; JwtServiceTest; JwtAuthenticationFilterTest; AuthServiceTest; AuthControllerIntegrationTest; SystemFunctionalTests; Maven Enforcer; CycloneDX SBOM; Dependabot; pom.xml; application-prod.properties; GitHub Actions secret scan; JWT service and signing/filter code detected; MFA/TOTP code and tests detected; X.509/mTLS machine authentication code detected; SCA/SBOM/enforcer configuration detected; CI secret/security scanning configuration detected</t>
        </is>
      </c>
      <c r="I8" s="30" t="inlineStr">
        <is>
          <t>Automatically inferred as implemented or justified from passing tests, source code, configuration, or build artifacts.</t>
        </is>
      </c>
      <c r="J8" s="30" t="inlineStr">
        <is>
          <t>Automated repository evidence</t>
        </is>
      </c>
      <c r="K8" s="30" t="inlineStr">
        <is>
          <t>X509MachineAuthenticationFilterTest; TelemetryServiceTest; AbuseCaseRegressionTest; JwtServiceTest; JwtAuthenticationFilterTest; AuthServiceTest; AuthControllerIntegrationTest; SystemFunctionalTests; Maven Enforcer; CycloneDX SBOM; Dependabot; pom.xml; application-prod.properties; GitHub Actions secret scan; JWT service and signing/filter code detected; MFA/TOTP code and tests detected; X.509/mTLS machine authentication code detected; SCA/SBOM/enforcer configuration detected; CI secret/security scanning configuration detected</t>
        </is>
      </c>
      <c r="L8" s="30" t="inlineStr">
        <is>
          <t>machine mTLS authentication paths; JWT signature and algorithm validation; JWT key strength and server-side signing; administrator MFA; account status validation; failed-login lockout behaviour; dependency governance and SBOM; dependency update monitoring; pinned dependency rules; TLS configuration; secrets externalized through configuration</t>
        </is>
      </c>
      <c r="M8" s="30" t="inlineStr">
        <is>
          <t>Keep make asvs-tracker passing; reassess if code, tests, or scope changes.</t>
        </is>
      </c>
    </row>
    <row r="9" ht="30" customHeight="1" s="26">
      <c r="A9" s="37" t="inlineStr">
        <is>
          <t>V13.2</t>
        </is>
      </c>
      <c r="B9" s="37" t="inlineStr">
        <is>
          <t>Backend Communication Configuration</t>
        </is>
      </c>
      <c r="C9" s="37" t="inlineStr">
        <is>
          <t>V13.2.2</t>
        </is>
      </c>
      <c r="D9" s="37" t="inlineStr">
        <is>
          <t>Verify that communications between backend application components, including local or operating system services, APIs, middleware, and data layers, are performed with accounts assigned the least necessary privileges.</t>
        </is>
      </c>
      <c r="E9" s="35" t="n">
        <v>2</v>
      </c>
      <c r="F9" s="36" t="inlineStr">
        <is>
          <t>Compliant</t>
        </is>
      </c>
      <c r="G9" s="37" t="inlineStr">
        <is>
          <t>Automatically marked compliant from passing evidence: RBAC roles and endpoint isolation; dependency governance and SBOM; dependency update monitoring; pinned dependency rules; secrets externalized through configuration.</t>
        </is>
      </c>
      <c r="H9" s="37" t="inlineStr">
        <is>
          <t>SR-02; SR-12; SR-32; SR-33; SR-34; SR-11; RbacIntegrationTest; SecurityAnnotationArchTest; Maven Enforcer; CycloneDX SBOM; Dependabot; pom.xml; GitHub Actions secret scan; application-prod.properties; Spring method security and RBAC annotations detected; SCA/SBOM/enforcer configuration detected; CI secret/security scanning configuration detected</t>
        </is>
      </c>
      <c r="I9" s="30" t="inlineStr">
        <is>
          <t>Automatically inferred as implemented or justified from passing tests, source code, configuration, or build artifacts.</t>
        </is>
      </c>
      <c r="J9" s="30" t="inlineStr">
        <is>
          <t>Automated repository evidence</t>
        </is>
      </c>
      <c r="K9" s="30" t="inlineStr">
        <is>
          <t>RbacIntegrationTest; SecurityAnnotationArchTest; Maven Enforcer; CycloneDX SBOM; Dependabot; pom.xml; GitHub Actions secret scan; application-prod.properties; Spring method security and RBAC annotations detected; SCA/SBOM/enforcer configuration detected; CI secret/security scanning configuration detected</t>
        </is>
      </c>
      <c r="L9" s="30" t="inlineStr">
        <is>
          <t>RBAC roles and endpoint isolation; dependency governance and SBOM; dependency update monitoring; pinned dependency rules; secrets externalized through configuration</t>
        </is>
      </c>
      <c r="M9" s="30" t="inlineStr">
        <is>
          <t>Keep make asvs-tracker passing; reassess if code, tests, or scope changes.</t>
        </is>
      </c>
    </row>
    <row r="10" ht="30" customHeight="1" s="26">
      <c r="A10" s="34" t="inlineStr">
        <is>
          <t>V13.2</t>
        </is>
      </c>
      <c r="B10" s="34" t="inlineStr">
        <is>
          <t>Backend Communication Configuration</t>
        </is>
      </c>
      <c r="C10" s="34" t="inlineStr">
        <is>
          <t>V13.2.3</t>
        </is>
      </c>
      <c r="D10" s="34" t="inlineStr">
        <is>
          <t>Verify that if a credential has to be used for service authentication, the credential being used by the consumer is not a default credential (e.g., root/root or admin/admin).</t>
        </is>
      </c>
      <c r="E10" s="35" t="n">
        <v>2</v>
      </c>
      <c r="F10" s="36" t="inlineStr">
        <is>
          <t>Compliant</t>
        </is>
      </c>
      <c r="G10" s="34" t="inlineStr">
        <is>
          <t>Automatically marked compliant from passing evidence: secrets externalized through configuration; administrator MFA; account status validation; failed-login lockout behaviour; pinned dependency rules.</t>
        </is>
      </c>
      <c r="H10" s="34" t="inlineStr">
        <is>
          <t>SR-11; SR-01; SR-05; SR-07; SR-34; GitHub Actions secret scan; application-prod.properties; AuthServiceTest; AuthControllerIntegrationTest; SystemFunctionalTests; Maven Enforcer; pom.xml; MFA/TOTP code and tests detected; SCA/SBOM/enforcer configuration detected; CI secret/security scanning configuration detected</t>
        </is>
      </c>
      <c r="I10" s="30" t="inlineStr">
        <is>
          <t>Automatically inferred as implemented or justified from passing tests, source code, configuration, or build artifacts.</t>
        </is>
      </c>
      <c r="J10" s="30" t="inlineStr">
        <is>
          <t>Automated repository evidence</t>
        </is>
      </c>
      <c r="K10" s="30" t="inlineStr">
        <is>
          <t>GitHub Actions secret scan; application-prod.properties; AuthServiceTest; AuthControllerIntegrationTest; SystemFunctionalTests; Maven Enforcer; pom.xml; MFA/TOTP code and tests detected; SCA/SBOM/enforcer configuration detected; CI secret/security scanning configuration detected</t>
        </is>
      </c>
      <c r="L10" s="30" t="inlineStr">
        <is>
          <t>secrets externalized through configuration; administrator MFA; account status validation; failed-login lockout behaviour; pinned dependency rules</t>
        </is>
      </c>
      <c r="M10" s="30" t="inlineStr">
        <is>
          <t>Keep make asvs-tracker passing; reassess if code, tests, or scope changes.</t>
        </is>
      </c>
    </row>
    <row r="11" ht="30" customHeight="1" s="26">
      <c r="A11" s="37" t="inlineStr">
        <is>
          <t>V13.2</t>
        </is>
      </c>
      <c r="B11" s="37" t="inlineStr">
        <is>
          <t>Backend Communication Configuration</t>
        </is>
      </c>
      <c r="C11" s="37" t="inlineStr">
        <is>
          <t>V13.2.4</t>
        </is>
      </c>
      <c r="D11" s="37"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35" t="n">
        <v>2</v>
      </c>
      <c r="F11" s="36" t="inlineStr">
        <is>
          <t>Compliant</t>
        </is>
      </c>
      <c r="G11" s="37" t="inlineStr">
        <is>
          <t>Automatically marked compliant from passing evidence: path traversal and report sandboxing; unsafe path/link handling; path traversal abuse-case regression; secrets externalized through configuration; pinned dependency rules.</t>
        </is>
      </c>
      <c r="H11" s="37" t="inlineStr">
        <is>
          <t>SR-26; SR-27; AC-06; SR-11; SR-34; PathValidatorImplTest; ReportDirectoryServiceImplTest; AbuseCaseRegressionTest; GitHub Actions secret scan; application-prod.properties; Maven Enforcer; pom.xml; path validation and report sandbox code detected; SCA/SBOM/enforcer configuration detected; CI secret/security scanning configuration detected</t>
        </is>
      </c>
      <c r="I11" s="30" t="inlineStr">
        <is>
          <t>Automatically inferred as implemented or justified from passing tests, source code, configuration, or build artifacts.</t>
        </is>
      </c>
      <c r="J11" s="30" t="inlineStr">
        <is>
          <t>Automated repository evidence</t>
        </is>
      </c>
      <c r="K11" s="30" t="inlineStr">
        <is>
          <t>PathValidatorImplTest; ReportDirectoryServiceImplTest; AbuseCaseRegressionTest; GitHub Actions secret scan; application-prod.properties; Maven Enforcer; pom.xml; path validation and report sandbox code detected; SCA/SBOM/enforcer configuration detected; CI secret/security scanning configuration detected</t>
        </is>
      </c>
      <c r="L11" s="30" t="inlineStr">
        <is>
          <t>path traversal and report sandboxing; unsafe path/link handling; path traversal abuse-case regression; secrets externalized through configuration; pinned dependency rules</t>
        </is>
      </c>
      <c r="M11" s="30" t="inlineStr">
        <is>
          <t>Keep make asvs-tracker passing; reassess if code, tests, or scope changes.</t>
        </is>
      </c>
    </row>
    <row r="12" ht="30" customHeight="1" s="26">
      <c r="A12" s="34" t="inlineStr">
        <is>
          <t>V13.2</t>
        </is>
      </c>
      <c r="B12" s="34" t="inlineStr">
        <is>
          <t>Backend Communication Configuration</t>
        </is>
      </c>
      <c r="C12" s="34" t="inlineStr">
        <is>
          <t>V13.2.5</t>
        </is>
      </c>
      <c r="D12" s="34" t="inlineStr">
        <is>
          <t>Verify that the web or application server is configured with an allowlist of resources or systems to which the server can send requests or load data or files from.</t>
        </is>
      </c>
      <c r="E12" s="35" t="n">
        <v>2</v>
      </c>
      <c r="F12" s="36" t="inlineStr">
        <is>
          <t>Compliant</t>
        </is>
      </c>
      <c r="G12" s="34" t="inlineStr">
        <is>
          <t>Automatically marked compliant from passing evidence: payment event handling; path traversal and report sandboxing; unsafe path/link handling; path traversal abuse-case regression; secrets externalized through configuration; pinned dependency rules.</t>
        </is>
      </c>
      <c r="H12" s="34" t="inlineStr">
        <is>
          <t>SR-40; SR-26; SR-27; AC-06; SR-11; SR-34; SaleServiceTest; PaymentGatewayServiceImplTest; PathValidatorImplTest; ReportDirectoryServiceImplTest; AbuseCaseRegressionTest; GitHub Actions secret scan; application-prod.properties; Maven Enforcer; pom.xml; path validation and report sandbox code detected; SCA/SBOM/enforcer configuration detected; CI secret/security scanning configuration detected</t>
        </is>
      </c>
      <c r="I12" s="30" t="inlineStr">
        <is>
          <t>Automatically inferred as implemented or justified from passing tests, source code, configuration, or build artifacts.</t>
        </is>
      </c>
      <c r="J12" s="30" t="inlineStr">
        <is>
          <t>Automated repository evidence</t>
        </is>
      </c>
      <c r="K12" s="30" t="inlineStr">
        <is>
          <t>SaleServiceTest; PaymentGatewayServiceImplTest; PathValidatorImplTest; ReportDirectoryServiceImplTest; AbuseCaseRegressionTest; GitHub Actions secret scan; application-prod.properties; Maven Enforcer; pom.xml; path validation and report sandbox code detected; SCA/SBOM/enforcer configuration detected; CI secret/security scanning configuration detected</t>
        </is>
      </c>
      <c r="L12" s="30" t="inlineStr">
        <is>
          <t>payment event handling; path traversal and report sandboxing; unsafe path/link handling; path traversal abuse-case regression; secrets externalized through configuration; pinned dependency rules</t>
        </is>
      </c>
      <c r="M12" s="30" t="inlineStr">
        <is>
          <t>Keep make asvs-tracker passing; reassess if code, tests, or scope changes.</t>
        </is>
      </c>
    </row>
    <row r="13" ht="30" customHeight="1" s="26">
      <c r="A13" s="37" t="inlineStr">
        <is>
          <t>V13.2</t>
        </is>
      </c>
      <c r="B13" s="37" t="inlineStr">
        <is>
          <t>Backend Communication Configuration</t>
        </is>
      </c>
      <c r="C13" s="37" t="inlineStr">
        <is>
          <t>V13.2.6</t>
        </is>
      </c>
      <c r="D13" s="37"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40" t="n">
        <v>3</v>
      </c>
      <c r="F13" s="36" t="inlineStr">
        <is>
          <t>Compliant</t>
        </is>
      </c>
      <c r="G13" s="37" t="inlineStr">
        <is>
          <t>Automatically marked compliant from passing evidence: secrets externalized through configuration; pinned dependency rules.</t>
        </is>
      </c>
      <c r="H13" s="37" t="inlineStr">
        <is>
          <t>SR-11; SR-34; GitHub Actions secret scan; application-prod.properties; Maven Enforcer; pom.xml; SCA/SBOM/enforcer configuration detected; CI secret/security scanning configuration detected</t>
        </is>
      </c>
      <c r="I13" s="30" t="inlineStr">
        <is>
          <t>Automatically inferred as implemented or justified from passing tests, source code, configuration, or build artifacts.</t>
        </is>
      </c>
      <c r="J13" s="30" t="inlineStr">
        <is>
          <t>Automated repository evidence</t>
        </is>
      </c>
      <c r="K13" s="30" t="inlineStr">
        <is>
          <t>GitHub Actions secret scan; application-prod.properties; Maven Enforcer; pom.xml; SCA/SBOM/enforcer configuration detected; CI secret/security scanning configuration detected</t>
        </is>
      </c>
      <c r="L13" s="30" t="inlineStr">
        <is>
          <t>secrets externalized through configuration; pinned dependency rules</t>
        </is>
      </c>
      <c r="M13" s="30" t="inlineStr">
        <is>
          <t>Keep make asvs-tracker passing; reassess if code, tests, or scope changes.</t>
        </is>
      </c>
    </row>
    <row r="14" ht="18" customHeight="1" s="26">
      <c r="A14" s="33" t="inlineStr">
        <is>
          <t>V13.3</t>
        </is>
      </c>
      <c r="B14" s="33" t="inlineStr">
        <is>
          <t>Secret Management</t>
        </is>
      </c>
      <c r="C14" s="33" t="n"/>
      <c r="D14" s="33" t="n"/>
      <c r="E14" s="33" t="n"/>
      <c r="F14" s="33" t="n"/>
      <c r="G14" s="33" t="n"/>
      <c r="H14" s="33" t="n"/>
      <c r="I14" s="30" t="n"/>
      <c r="J14" s="30" t="n"/>
      <c r="K14" s="30" t="n"/>
      <c r="L14" s="30" t="n"/>
      <c r="M14" s="30" t="n"/>
    </row>
    <row r="15" ht="30" customHeight="1" s="26">
      <c r="A15" s="34" t="inlineStr">
        <is>
          <t>V13.3</t>
        </is>
      </c>
      <c r="B15" s="34" t="inlineStr">
        <is>
          <t>Secret Management</t>
        </is>
      </c>
      <c r="C15" s="34" t="inlineStr">
        <is>
          <t>V13.3.1</t>
        </is>
      </c>
      <c r="D15" s="34"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35" t="n">
        <v>2</v>
      </c>
      <c r="F15" s="36" t="inlineStr">
        <is>
          <t>Compliant</t>
        </is>
      </c>
      <c r="G15" s="34" t="inlineStr">
        <is>
          <t>Automatically marked compliant from passing evidence: payload/request limit coverage; secrets externalized through configuration; JWT signature and algorithm validation; JWT key strength and server-side signing; administrator MFA; account status validation; failed-login lockout behaviour; dependency governance and SBOM; dependency update monitoring; pinned dependency rules.</t>
        </is>
      </c>
      <c r="H15" s="34" t="inlineStr">
        <is>
          <t>SR-30; SR-11; SR-03; SR-04; SR-01; SR-05; SR-07; SR-32; SR-33; SR-34; SystemFunctionalTests; application.properties; GitHub Actions secret scan; application-prod.properties; AbuseCaseRegressionTest; JwtServiceTest; JwtAuthenticationFilterTest; AuthServiceTest; AuthControllerIntegrationTest; Maven Enforcer; CycloneDX SBOM; Dependabot; pom.xml; JWT service and signing/filter code detected; MFA/TOTP code and tests detected; Bean Validation and request-shape controls detected; SCA/SBOM/enforcer configuration detected; CI secret/security scanning configuration detected</t>
        </is>
      </c>
      <c r="I15" s="30" t="inlineStr">
        <is>
          <t>Automatically inferred as implemented or justified from passing tests, source code, configuration, or build artifacts.</t>
        </is>
      </c>
      <c r="J15" s="30" t="inlineStr">
        <is>
          <t>Automated repository evidence</t>
        </is>
      </c>
      <c r="K15" s="30" t="inlineStr">
        <is>
          <t>SystemFunctionalTests; application.properties; GitHub Actions secret scan; application-prod.properties; AbuseCaseRegressionTest; JwtServiceTest; JwtAuthenticationFilterTest; AuthServiceTest; AuthControllerIntegrationTest; Maven Enforcer; CycloneDX SBOM; Dependabot; pom.xml; JWT service and signing/filter code detected; MFA/TOTP code and tests detected; Bean Validation and request-shape controls detected; SCA/SBOM/enforcer configuration detected; CI secret/security scanning configuration detected</t>
        </is>
      </c>
      <c r="L15" s="30" t="inlineStr">
        <is>
          <t>payload/request limit coverage; secrets externalized through configuration; JWT signature and algorithm validation; JWT key strength and server-side signing; administrator MFA; account status validation; failed-login lockout behaviour; dependency governance and SBOM; dependency update monitoring; pinned dependency rules</t>
        </is>
      </c>
      <c r="M15" s="30" t="inlineStr">
        <is>
          <t>Keep make asvs-tracker passing; reassess if code, tests, or scope changes.</t>
        </is>
      </c>
    </row>
    <row r="16" ht="30" customHeight="1" s="26">
      <c r="A16" s="37" t="inlineStr">
        <is>
          <t>V13.3</t>
        </is>
      </c>
      <c r="B16" s="37" t="inlineStr">
        <is>
          <t>Secret Management</t>
        </is>
      </c>
      <c r="C16" s="37" t="inlineStr">
        <is>
          <t>V13.3.2</t>
        </is>
      </c>
      <c r="D16" s="37" t="inlineStr">
        <is>
          <t>Verify that access to secret assets adheres to the principle of least privilege.</t>
        </is>
      </c>
      <c r="E16" s="35" t="n">
        <v>2</v>
      </c>
      <c r="F16" s="36" t="inlineStr">
        <is>
          <t>Compliant</t>
        </is>
      </c>
      <c r="G16" s="37" t="inlineStr">
        <is>
          <t>Automatically marked compliant from passing evidence: payload/request limit coverage; secrets externalized through configuration; pinned dependency rules.</t>
        </is>
      </c>
      <c r="H16" s="37" t="inlineStr">
        <is>
          <t>SR-12; SR-30; SR-11; SR-34; SystemFunctionalTests; application.properties; GitHub Actions secret scan; application-prod.properties; Maven Enforcer; pom.xml; Bean Validation and request-shape controls detected; SCA/SBOM/enforcer configuration detected; CI secret/security scanning configuration detected</t>
        </is>
      </c>
      <c r="I16" s="30" t="inlineStr">
        <is>
          <t>Automatically inferred as implemented or justified from passing tests, source code, configuration, or build artifacts.</t>
        </is>
      </c>
      <c r="J16" s="30" t="inlineStr">
        <is>
          <t>Automated repository evidence</t>
        </is>
      </c>
      <c r="K16" s="30" t="inlineStr">
        <is>
          <t>SystemFunctionalTests; application.properties; GitHub Actions secret scan; application-prod.properties; Maven Enforcer; pom.xml; Bean Validation and request-shape controls detected; SCA/SBOM/enforcer configuration detected; CI secret/security scanning configuration detected</t>
        </is>
      </c>
      <c r="L16" s="30" t="inlineStr">
        <is>
          <t>payload/request limit coverage; secrets externalized through configuration; pinned dependency rules</t>
        </is>
      </c>
      <c r="M16" s="30" t="inlineStr">
        <is>
          <t>Keep make asvs-tracker passing; reassess if code, tests, or scope changes.</t>
        </is>
      </c>
    </row>
    <row r="17" ht="30" customHeight="1" s="26">
      <c r="A17" s="34" t="inlineStr">
        <is>
          <t>V13.3</t>
        </is>
      </c>
      <c r="B17" s="34" t="inlineStr">
        <is>
          <t>Secret Management</t>
        </is>
      </c>
      <c r="C17" s="34" t="inlineStr">
        <is>
          <t>V13.3.3</t>
        </is>
      </c>
      <c r="D17" s="34" t="inlineStr">
        <is>
          <t>Verify that all cryptographic operations are performed using an isolated security module (such as a vault or hardware security module) to securely manage and protect key material from exposure outside of the security module.</t>
        </is>
      </c>
      <c r="E17" s="40" t="n">
        <v>3</v>
      </c>
      <c r="F17" s="36" t="inlineStr">
        <is>
          <t>Compliant</t>
        </is>
      </c>
      <c r="G17" s="34" t="inlineStr">
        <is>
          <t>Automatically marked compliant from passing evidence: payload/request limit coverage; secrets externalized through configuration; pinned dependency rules.</t>
        </is>
      </c>
      <c r="H17" s="34" t="inlineStr">
        <is>
          <t>SR-30; SR-11; SR-34; SystemFunctionalTests; application.properties; GitHub Actions secret scan; application-prod.properties; Maven Enforcer; pom.xml; Bean Validation and request-shape controls detected; SCA/SBOM/enforcer configuration detected; CI secret/security scanning configuration detected</t>
        </is>
      </c>
      <c r="I17" s="30" t="inlineStr">
        <is>
          <t>Automatically inferred as implemented or justified from passing tests, source code, configuration, or build artifacts.</t>
        </is>
      </c>
      <c r="J17" s="30" t="inlineStr">
        <is>
          <t>Automated repository evidence</t>
        </is>
      </c>
      <c r="K17" s="30" t="inlineStr">
        <is>
          <t>SystemFunctionalTests; application.properties; GitHub Actions secret scan; application-prod.properties; Maven Enforcer; pom.xml; Bean Validation and request-shape controls detected; SCA/SBOM/enforcer configuration detected; CI secret/security scanning configuration detected</t>
        </is>
      </c>
      <c r="L17" s="30" t="inlineStr">
        <is>
          <t>payload/request limit coverage; secrets externalized through configuration; pinned dependency rules</t>
        </is>
      </c>
      <c r="M17" s="30" t="inlineStr">
        <is>
          <t>Keep make asvs-tracker passing; reassess if code, tests, or scope changes.</t>
        </is>
      </c>
    </row>
    <row r="18" ht="30" customHeight="1" s="26">
      <c r="A18" s="37" t="inlineStr">
        <is>
          <t>V13.3</t>
        </is>
      </c>
      <c r="B18" s="37" t="inlineStr">
        <is>
          <t>Secret Management</t>
        </is>
      </c>
      <c r="C18" s="37" t="inlineStr">
        <is>
          <t>V13.3.4</t>
        </is>
      </c>
      <c r="D18" s="37" t="inlineStr">
        <is>
          <t>Verify that secrets are configured to expire and be rotated based on the application's documentation.</t>
        </is>
      </c>
      <c r="E18" s="40" t="n">
        <v>3</v>
      </c>
      <c r="F18" s="36" t="inlineStr">
        <is>
          <t>Compliant</t>
        </is>
      </c>
      <c r="G18" s="37" t="inlineStr">
        <is>
          <t>Automatically marked compliant from passing evidence: payload/request limit coverage; JWT key strength and server-side signing; secrets externalized through configuration; pinned dependency rules.</t>
        </is>
      </c>
      <c r="H18" s="37" t="inlineStr">
        <is>
          <t>SR-30; SR-04; SR-11; SR-34; SystemFunctionalTests; application.properties; JwtServiceTest; JwtAuthenticationFilterTest; GitHub Actions secret scan; application-prod.properties; Maven Enforcer; pom.xml; JWT service and signing/filter code detected; Bean Validation and request-shape controls detected; SCA/SBOM/enforcer configuration detected; CI secret/security scanning configuration detected</t>
        </is>
      </c>
      <c r="I18" s="30" t="inlineStr">
        <is>
          <t>Automatically inferred as implemented or justified from passing tests, source code, configuration, or build artifacts.</t>
        </is>
      </c>
      <c r="J18" s="30" t="inlineStr">
        <is>
          <t>Automated repository evidence</t>
        </is>
      </c>
      <c r="K18" s="30" t="inlineStr">
        <is>
          <t>SystemFunctionalTests; application.properties; JwtServiceTest; JwtAuthenticationFilterTest; GitHub Actions secret scan; application-prod.properties; Maven Enforcer; pom.xml; JWT service and signing/filter code detected; Bean Validation and request-shape controls detected; SCA/SBOM/enforcer configuration detected; CI secret/security scanning configuration detected</t>
        </is>
      </c>
      <c r="L18" s="30" t="inlineStr">
        <is>
          <t>payload/request limit coverage; JWT key strength and server-side signing; secrets externalized through configuration; pinned dependency rules</t>
        </is>
      </c>
      <c r="M18" s="30" t="inlineStr">
        <is>
          <t>Keep make asvs-tracker passing; reassess if code, tests, or scope changes.</t>
        </is>
      </c>
    </row>
    <row r="19" ht="18" customHeight="1" s="26">
      <c r="A19" s="33" t="inlineStr">
        <is>
          <t>V13.4</t>
        </is>
      </c>
      <c r="B19" s="33" t="inlineStr">
        <is>
          <t>Unintended Information Leakage</t>
        </is>
      </c>
      <c r="C19" s="33" t="n"/>
      <c r="D19" s="33" t="n"/>
      <c r="E19" s="33" t="n"/>
      <c r="F19" s="33" t="n"/>
      <c r="G19" s="33" t="n"/>
      <c r="H19" s="33" t="n"/>
      <c r="I19" s="30" t="n"/>
      <c r="J19" s="30" t="n"/>
      <c r="K19" s="30" t="n"/>
      <c r="L19" s="30" t="n"/>
      <c r="M19" s="30" t="n"/>
    </row>
    <row r="20" ht="30" customHeight="1" s="26">
      <c r="A20" s="34" t="inlineStr">
        <is>
          <t>V13.4</t>
        </is>
      </c>
      <c r="B20" s="34" t="inlineStr">
        <is>
          <t>Unintended Information Leakage</t>
        </is>
      </c>
      <c r="C20" s="34" t="inlineStr">
        <is>
          <t>V13.4.1</t>
        </is>
      </c>
      <c r="D20" s="34" t="inlineStr">
        <is>
          <t>Verify that the application is deployed either without any source control metadata, including the .git or .svn folders, or in a way that these folders are inaccessible both externally and to the application itself.</t>
        </is>
      </c>
      <c r="E20" s="38" t="n">
        <v>1</v>
      </c>
      <c r="F20" s="36" t="inlineStr">
        <is>
          <t>Compliant</t>
        </is>
      </c>
      <c r="G20" s="34" t="inlineStr">
        <is>
          <t>Automatically marked compliant from passing evidence: safe error response checks; secrets externalized through configuration; pinned dependency rules.</t>
        </is>
      </c>
      <c r="H20" s="34" t="inlineStr">
        <is>
          <t>SR-46; SR-11; SR-34; GlobalExceptionHandlerTest; ControllerIntegrationTests; GitHub Actions secret scan; application-prod.properties; Maven Enforcer; pom.xml; SCA/SBOM/enforcer configuration detected; centralized safe error handling detected; CI secret/security scanning configuration detected</t>
        </is>
      </c>
      <c r="I20" s="30" t="inlineStr">
        <is>
          <t>Automatically inferred as implemented or justified from passing tests, source code, configuration, or build artifacts.</t>
        </is>
      </c>
      <c r="J20" s="30" t="inlineStr">
        <is>
          <t>Automated repository evidence</t>
        </is>
      </c>
      <c r="K20" s="30" t="inlineStr">
        <is>
          <t>GlobalExceptionHandlerTest; ControllerIntegrationTests; GitHub Actions secret scan; application-prod.properties; Maven Enforcer; pom.xml; SCA/SBOM/enforcer configuration detected; centralized safe error handling detected; CI secret/security scanning configuration detected</t>
        </is>
      </c>
      <c r="L20" s="30" t="inlineStr">
        <is>
          <t>safe error response checks; secrets externalized through configuration; pinned dependency rules</t>
        </is>
      </c>
      <c r="M20" s="30" t="inlineStr">
        <is>
          <t>Keep make asvs-tracker passing; reassess if code, tests, or scope changes.</t>
        </is>
      </c>
    </row>
    <row r="21" ht="30" customHeight="1" s="26">
      <c r="A21" s="37" t="inlineStr">
        <is>
          <t>V13.4</t>
        </is>
      </c>
      <c r="B21" s="37" t="inlineStr">
        <is>
          <t>Unintended Information Leakage</t>
        </is>
      </c>
      <c r="C21" s="37" t="inlineStr">
        <is>
          <t>V13.4.2</t>
        </is>
      </c>
      <c r="D21" s="37" t="inlineStr">
        <is>
          <t>Verify that debug modes are disabled for all components in production environments to prevent exposure of debugging features and information leakage.</t>
        </is>
      </c>
      <c r="E21" s="35" t="n">
        <v>2</v>
      </c>
      <c r="F21" s="36" t="inlineStr">
        <is>
          <t>Compliant</t>
        </is>
      </c>
      <c r="G21" s="37" t="inlineStr">
        <is>
          <t>Automatically marked compliant from passing evidence: safe error response checks; dependency governance and SBOM; dependency update monitoring; pinned dependency rules; secrets externalized through configuration.</t>
        </is>
      </c>
      <c r="H21" s="37" t="inlineStr">
        <is>
          <t>SR-46; SR-32; SR-33; SR-34; SR-11; GlobalExceptionHandlerTest; ControllerIntegrationTests; Maven Enforcer; CycloneDX SBOM; Dependabot; pom.xml; GitHub Actions secret scan; application-prod.properties; SCA/SBOM/enforcer configuration detected; centralized safe error handling detected; CI secret/security scanning configuration detected</t>
        </is>
      </c>
      <c r="I21" s="30" t="inlineStr">
        <is>
          <t>Automatically inferred as implemented or justified from passing tests, source code, configuration, or build artifacts.</t>
        </is>
      </c>
      <c r="J21" s="30" t="inlineStr">
        <is>
          <t>Automated repository evidence</t>
        </is>
      </c>
      <c r="K21" s="30" t="inlineStr">
        <is>
          <t>GlobalExceptionHandlerTest; ControllerIntegrationTests; Maven Enforcer; CycloneDX SBOM; Dependabot; pom.xml; GitHub Actions secret scan; application-prod.properties; SCA/SBOM/enforcer configuration detected; centralized safe error handling detected; CI secret/security scanning configuration detected</t>
        </is>
      </c>
      <c r="L21" s="30" t="inlineStr">
        <is>
          <t>safe error response checks; dependency governance and SBOM; dependency update monitoring; pinned dependency rules; secrets externalized through configuration</t>
        </is>
      </c>
      <c r="M21" s="30" t="inlineStr">
        <is>
          <t>Keep make asvs-tracker passing; reassess if code, tests, or scope changes.</t>
        </is>
      </c>
    </row>
    <row r="22" ht="30" customHeight="1" s="26">
      <c r="A22" s="34" t="inlineStr">
        <is>
          <t>V13.4</t>
        </is>
      </c>
      <c r="B22" s="34" t="inlineStr">
        <is>
          <t>Unintended Information Leakage</t>
        </is>
      </c>
      <c r="C22" s="34" t="inlineStr">
        <is>
          <t>V13.4.3</t>
        </is>
      </c>
      <c r="D22" s="34" t="inlineStr">
        <is>
          <t>Verify that web servers do not expose directory listings to clients unless explicitly intended.</t>
        </is>
      </c>
      <c r="E22" s="35" t="n">
        <v>2</v>
      </c>
      <c r="F22" s="36" t="inlineStr">
        <is>
          <t>Compliant</t>
        </is>
      </c>
      <c r="G22" s="34" t="inlineStr">
        <is>
          <t>Automatically marked compliant from passing evidence: safe error response checks; path traversal and report sandboxing; unsafe path/link handling; path traversal abuse-case regression; secrets externalized through configuration; pinned dependency rules.</t>
        </is>
      </c>
      <c r="H22" s="34" t="inlineStr">
        <is>
          <t>SR-46; SR-26; SR-27; AC-06; SR-11; SR-34; GlobalExceptionHandlerTest; ControllerIntegrationTests; PathValidatorImplTest; ReportDirectoryServiceImplTest; AbuseCaseRegressionTest; GitHub Actions secret scan; application-prod.properties; Maven Enforcer; pom.xml; path validation and report sandbox code detected; SCA/SBOM/enforcer configuration detected; centralized safe error handling detected; CI secret/security scanning configuration detected</t>
        </is>
      </c>
      <c r="I22" s="30" t="inlineStr">
        <is>
          <t>Automatically inferred as implemented or justified from passing tests, source code, configuration, or build artifacts.</t>
        </is>
      </c>
      <c r="J22" s="30" t="inlineStr">
        <is>
          <t>Automated repository evidence</t>
        </is>
      </c>
      <c r="K22" s="30" t="inlineStr">
        <is>
          <t>GlobalExceptionHandlerTest; ControllerIntegrationTests; PathValidatorImplTest; ReportDirectoryServiceImplTest; AbuseCaseRegressionTest; GitHub Actions secret scan; application-prod.properties; Maven Enforcer; pom.xml; path validation and report sandbox code detected; SCA/SBOM/enforcer configuration detected; centralized safe error handling detected; CI secret/security scanning configuration detected</t>
        </is>
      </c>
      <c r="L22" s="30" t="inlineStr">
        <is>
          <t>safe error response checks; path traversal and report sandboxing; unsafe path/link handling; path traversal abuse-case regression; secrets externalized through configuration; pinned dependency rules</t>
        </is>
      </c>
      <c r="M22" s="30" t="inlineStr">
        <is>
          <t>Keep make asvs-tracker passing; reassess if code, tests, or scope changes.</t>
        </is>
      </c>
    </row>
    <row r="23" ht="30" customHeight="1" s="26">
      <c r="A23" s="37" t="inlineStr">
        <is>
          <t>V13.4</t>
        </is>
      </c>
      <c r="B23" s="37" t="inlineStr">
        <is>
          <t>Unintended Information Leakage</t>
        </is>
      </c>
      <c r="C23" s="37" t="inlineStr">
        <is>
          <t>V13.4.4</t>
        </is>
      </c>
      <c r="D23" s="37" t="inlineStr">
        <is>
          <t>Verify that using the HTTP TRACE method is not supported in production environments, to avoid potential information leakage.</t>
        </is>
      </c>
      <c r="E23" s="35" t="n">
        <v>2</v>
      </c>
      <c r="F23" s="36" t="inlineStr">
        <is>
          <t>Compliant</t>
        </is>
      </c>
      <c r="G23" s="37" t="inlineStr">
        <is>
          <t>Automatically marked compliant from passing evidence: TLS configuration; safe error response checks; secrets externalized through configuration; pinned dependency rules.</t>
        </is>
      </c>
      <c r="H23" s="37" t="inlineStr">
        <is>
          <t>SR-17; SR-46; SR-11; SR-34; application-prod.properties; GlobalExceptionHandlerTest; ControllerIntegrationTests; GitHub Actions secret scan; Maven Enforcer; pom.xml; SCA/SBOM/enforcer configuration detected; centralized safe error handling detected; CI secret/security scanning configuration detected</t>
        </is>
      </c>
      <c r="I23" s="30" t="inlineStr">
        <is>
          <t>Automatically inferred as implemented or justified from passing tests, source code, configuration, or build artifacts.</t>
        </is>
      </c>
      <c r="J23" s="30" t="inlineStr">
        <is>
          <t>Automated repository evidence</t>
        </is>
      </c>
      <c r="K23" s="30" t="inlineStr">
        <is>
          <t>application-prod.properties; GlobalExceptionHandlerTest; ControllerIntegrationTests; GitHub Actions secret scan; Maven Enforcer; pom.xml; SCA/SBOM/enforcer configuration detected; centralized safe error handling detected; CI secret/security scanning configuration detected</t>
        </is>
      </c>
      <c r="L23" s="30" t="inlineStr">
        <is>
          <t>TLS configuration; safe error response checks; secrets externalized through configuration; pinned dependency rules</t>
        </is>
      </c>
      <c r="M23" s="30" t="inlineStr">
        <is>
          <t>Keep make asvs-tracker passing; reassess if code, tests, or scope changes.</t>
        </is>
      </c>
    </row>
    <row r="24" ht="30" customHeight="1" s="26">
      <c r="A24" s="34" t="inlineStr">
        <is>
          <t>V13.4</t>
        </is>
      </c>
      <c r="B24" s="34" t="inlineStr">
        <is>
          <t>Unintended Information Leakage</t>
        </is>
      </c>
      <c r="C24" s="34" t="inlineStr">
        <is>
          <t>V13.4.5</t>
        </is>
      </c>
      <c r="D24" s="34" t="inlineStr">
        <is>
          <t>Verify that documentation (such as for internal APIs) and monitoring endpoints are not exposed unless explicitly intended.</t>
        </is>
      </c>
      <c r="E24" s="35" t="n">
        <v>2</v>
      </c>
      <c r="F24" s="36" t="inlineStr">
        <is>
          <t>Compliant</t>
        </is>
      </c>
      <c r="G24" s="34" t="inlineStr">
        <is>
          <t>Automatically marked compliant from passing evidence: RBAC roles and endpoint isolation; controller/service authorization guardrails; secrets externalized through configuration; pinned dependency rules.</t>
        </is>
      </c>
      <c r="H24" s="34" t="inlineStr">
        <is>
          <t>SR-02; SR-06; SR-11; SR-34; RbacIntegrationTest; SecurityAnnotationArchTest; GitHub Actions secret scan; application-prod.properties; Maven Enforcer; pom.xml; Spring method security and RBAC annotations detected; SCA/SBOM/enforcer configuration detected; CI secret/security scanning configuration detected</t>
        </is>
      </c>
      <c r="I24" s="30" t="inlineStr">
        <is>
          <t>Automatically inferred as implemented or justified from passing tests, source code, configuration, or build artifacts.</t>
        </is>
      </c>
      <c r="J24" s="30" t="inlineStr">
        <is>
          <t>Automated repository evidence</t>
        </is>
      </c>
      <c r="K24" s="30" t="inlineStr">
        <is>
          <t>RbacIntegrationTest; SecurityAnnotationArchTest; GitHub Actions secret scan; application-prod.properties; Maven Enforcer; pom.xml; Spring method security and RBAC annotations detected; SCA/SBOM/enforcer configuration detected; CI secret/security scanning configuration detected</t>
        </is>
      </c>
      <c r="L24" s="30" t="inlineStr">
        <is>
          <t>RBAC roles and endpoint isolation; controller/service authorization guardrails; secrets externalized through configuration; pinned dependency rules</t>
        </is>
      </c>
      <c r="M24" s="30" t="inlineStr">
        <is>
          <t>Keep make asvs-tracker passing; reassess if code, tests, or scope changes.</t>
        </is>
      </c>
    </row>
    <row r="25" ht="30" customHeight="1" s="26">
      <c r="A25" s="37" t="inlineStr">
        <is>
          <t>V13.4</t>
        </is>
      </c>
      <c r="B25" s="37" t="inlineStr">
        <is>
          <t>Unintended Information Leakage</t>
        </is>
      </c>
      <c r="C25" s="37" t="inlineStr">
        <is>
          <t>V13.4.6</t>
        </is>
      </c>
      <c r="D25" s="37" t="inlineStr">
        <is>
          <t>Verify that the application does not expose detailed version information of backend components.</t>
        </is>
      </c>
      <c r="E25" s="40" t="n">
        <v>3</v>
      </c>
      <c r="F25" s="36" t="inlineStr">
        <is>
          <t>Compliant</t>
        </is>
      </c>
      <c r="G25" s="37" t="inlineStr">
        <is>
          <t>Automatically marked compliant from passing evidence: safe error response checks; dependency governance and SBOM; dependency update monitoring; pinned dependency rules; secrets externalized through configuration.</t>
        </is>
      </c>
      <c r="H25" s="37" t="inlineStr">
        <is>
          <t>SR-46; SR-32; SR-33; SR-34; SR-11; GlobalExceptionHandlerTest; ControllerIntegrationTests; Maven Enforcer; CycloneDX SBOM; Dependabot; pom.xml; GitHub Actions secret scan; application-prod.properties; SCA/SBOM/enforcer configuration detected; centralized safe error handling detected; CI secret/security scanning configuration detected</t>
        </is>
      </c>
      <c r="I25" s="30" t="inlineStr">
        <is>
          <t>Automatically inferred as implemented or justified from passing tests, source code, configuration, or build artifacts.</t>
        </is>
      </c>
      <c r="J25" s="30" t="inlineStr">
        <is>
          <t>Automated repository evidence</t>
        </is>
      </c>
      <c r="K25" s="30" t="inlineStr">
        <is>
          <t>GlobalExceptionHandlerTest; ControllerIntegrationTests; Maven Enforcer; CycloneDX SBOM; Dependabot; pom.xml; GitHub Actions secret scan; application-prod.properties; SCA/SBOM/enforcer configuration detected; centralized safe error handling detected; CI secret/security scanning configuration detected</t>
        </is>
      </c>
      <c r="L25" s="30" t="inlineStr">
        <is>
          <t>safe error response checks; dependency governance and SBOM; dependency update monitoring; pinned dependency rules; secrets externalized through configuration</t>
        </is>
      </c>
      <c r="M25" s="30" t="inlineStr">
        <is>
          <t>Keep make asvs-tracker passing; reassess if code, tests, or scope changes.</t>
        </is>
      </c>
    </row>
    <row r="26" ht="30" customHeight="1" s="26">
      <c r="A26" s="34" t="inlineStr">
        <is>
          <t>V13.4</t>
        </is>
      </c>
      <c r="B26" s="34" t="inlineStr">
        <is>
          <t>Unintended Information Leakage</t>
        </is>
      </c>
      <c r="C26" s="34" t="inlineStr">
        <is>
          <t>V13.4.7</t>
        </is>
      </c>
      <c r="D26" s="34" t="inlineStr">
        <is>
          <t>Verify that the web tier is configured to only serve files with specific file extensions to prevent unintentional information, configuration, and source code leakage.</t>
        </is>
      </c>
      <c r="E26" s="40" t="n">
        <v>3</v>
      </c>
      <c r="F26" s="36" t="inlineStr">
        <is>
          <t>Compliant</t>
        </is>
      </c>
      <c r="G26" s="34" t="inlineStr">
        <is>
          <t>Automatically marked compliant from passing evidence: unsafe path/link handling; safe error response checks; path traversal and report sandboxing; path traversal abuse-case regression; secrets externalized through configuration; pinned dependency rules.</t>
        </is>
      </c>
      <c r="H26" s="34" t="inlineStr">
        <is>
          <t>SR-27; SR-46; SR-26; AC-06; SR-11; SR-34; PathValidatorImplTest; ReportDirectoryServiceImplTest; GlobalExceptionHandlerTest; ControllerIntegrationTests; AbuseCaseRegressionTest; GitHub Actions secret scan; application-prod.properties; Maven Enforcer; pom.xml; path validation and report sandbox code detected; SCA/SBOM/enforcer configuration detected; centralized safe error handling detected; CI secret/security scanning configuration detected</t>
        </is>
      </c>
      <c r="I26" s="30" t="inlineStr">
        <is>
          <t>Automatically inferred as implemented or justified from passing tests, source code, configuration, or build artifacts.</t>
        </is>
      </c>
      <c r="J26" s="30" t="inlineStr">
        <is>
          <t>Automated repository evidence</t>
        </is>
      </c>
      <c r="K26" s="30" t="inlineStr">
        <is>
          <t>PathValidatorImplTest; ReportDirectoryServiceImplTest; GlobalExceptionHandlerTest; ControllerIntegrationTests; AbuseCaseRegressionTest; GitHub Actions secret scan; application-prod.properties; Maven Enforcer; pom.xml; path validation and report sandbox code detected; SCA/SBOM/enforcer configuration detected; centralized safe error handling detected; CI secret/security scanning configuration detected</t>
        </is>
      </c>
      <c r="L26" s="30" t="inlineStr">
        <is>
          <t>unsafe path/link handling; safe error response checks; path traversal and report sandboxing; path traversal abuse-case regression; secrets externalized through configuration; pinned dependency rules</t>
        </is>
      </c>
      <c r="M26" s="30" t="inlineStr">
        <is>
          <t>Keep make asvs-tracker passing; reassess if code, tests, or scope changes.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6.xml><?xml version="1.0" encoding="utf-8"?>
<worksheet xmlns="http://schemas.openxmlformats.org/spreadsheetml/2006/main">
  <sheetPr>
    <outlinePr summaryBelow="1" summaryRight="1"/>
    <pageSetUpPr/>
  </sheetPr>
  <dimension ref="A1:M17"/>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V14.1</t>
        </is>
      </c>
      <c r="B2" s="33" t="inlineStr">
        <is>
          <t>Data Protection Documentation</t>
        </is>
      </c>
      <c r="C2" s="33" t="n"/>
      <c r="D2" s="33" t="n"/>
      <c r="E2" s="33" t="n"/>
      <c r="F2" s="33" t="n"/>
      <c r="G2" s="33" t="n"/>
      <c r="H2" s="33" t="n"/>
      <c r="I2" s="30" t="n"/>
      <c r="J2" s="30" t="n"/>
      <c r="K2" s="30" t="n"/>
      <c r="L2" s="30" t="n"/>
      <c r="M2" s="30" t="n"/>
    </row>
    <row r="3" ht="30" customHeight="1" s="26">
      <c r="A3" s="34" t="inlineStr">
        <is>
          <t>V14.1</t>
        </is>
      </c>
      <c r="B3" s="34" t="inlineStr">
        <is>
          <t>Data Protection Documentation</t>
        </is>
      </c>
      <c r="C3" s="34" t="inlineStr">
        <is>
          <t>V14.1.1</t>
        </is>
      </c>
      <c r="D3" s="34"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35" t="n">
        <v>2</v>
      </c>
      <c r="F3" s="36" t="inlineStr">
        <is>
          <t>Compliant</t>
        </is>
      </c>
      <c r="G3" s="34" t="inlineStr">
        <is>
          <t>Automatically marked compliant from passing evidence: safe JSON response/error surface; JWT signature and algorithm validation; JWT key strength and server-side signing; input shape/range validation; unknown-field rejection; payload/request limit coverage.</t>
        </is>
      </c>
      <c r="H3" s="34" t="inlineStr">
        <is>
          <t>SR-13; SR-14; SR-03; SR-04; SR-28; SR-29; SR-30; GlobalExceptionHandlerTest; ControllerIntegrationTests; AbuseCaseRegressionTest; JwtServiceTest; JwtAuthenticationFilterTest; SystemFunctionalTests; ControllerUnitTests; application.properties; JWT service and signing/filter code detected; Bean Validation and request-shape controls detected; centralized safe error handling detected</t>
        </is>
      </c>
      <c r="I3" s="30" t="inlineStr">
        <is>
          <t>Automatically inferred as implemented or justified from passing tests, source code, configuration, or build artifacts.</t>
        </is>
      </c>
      <c r="J3" s="30" t="inlineStr">
        <is>
          <t>Automated repository evidence</t>
        </is>
      </c>
      <c r="K3" s="30" t="inlineStr">
        <is>
          <t>GlobalExceptionHandlerTest; ControllerIntegrationTests; AbuseCaseRegressionTest; JwtServiceTest; JwtAuthenticationFilterTest; SystemFunctionalTests; ControllerUnitTests; application.properties; JWT service and signing/filter code detected; Bean Validation and request-shape controls detected; centralized safe error handling detected</t>
        </is>
      </c>
      <c r="L3" s="30" t="inlineStr">
        <is>
          <t>safe JSON response/error surface; JWT signature and algorithm validation; JWT key strength and server-side signing; input shape/range validation; unknown-field rejection; payload/request limit coverage</t>
        </is>
      </c>
      <c r="M3" s="30" t="inlineStr">
        <is>
          <t>Keep make asvs-tracker passing; reassess if code, tests, or scope changes.</t>
        </is>
      </c>
    </row>
    <row r="4" ht="30" customHeight="1" s="26">
      <c r="A4" s="37" t="inlineStr">
        <is>
          <t>V14.1</t>
        </is>
      </c>
      <c r="B4" s="37" t="inlineStr">
        <is>
          <t>Data Protection Documentation</t>
        </is>
      </c>
      <c r="C4" s="37" t="inlineStr">
        <is>
          <t>V14.1.2</t>
        </is>
      </c>
      <c r="D4" s="37"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35" t="n">
        <v>2</v>
      </c>
      <c r="F4" s="36" t="inlineStr">
        <is>
          <t>Compliant</t>
        </is>
      </c>
      <c r="G4" s="37" t="inlineStr">
        <is>
          <t>Automatically marked compliant from passing evidence: safe JSON response/error surface; RBAC roles and endpoint isolation; controller/service authorization guardrails; user data access isolation; authentication audit logging; sensitive log data checks; safe error response checks.</t>
        </is>
      </c>
      <c r="H4" s="37" t="inlineStr">
        <is>
          <t>SR-13; SR-14; SR-41; SR-02; SR-06; SR-08; SR-37; SR-45; SR-46; GlobalExceptionHandlerTest; ControllerIntegrationTests; RbacIntegrationTest; SecurityAnnotationArchTest; SystemFunctionalTests; AuthServiceTest; AuditLoggerTest; Spring method security and RBAC annotations detected; audit logging implementation detected; centralized safe error handling detected</t>
        </is>
      </c>
      <c r="I4" s="30" t="inlineStr">
        <is>
          <t>Automatically inferred as implemented or justified from passing tests, source code, configuration, or build artifacts.</t>
        </is>
      </c>
      <c r="J4" s="30" t="inlineStr">
        <is>
          <t>Automated repository evidence</t>
        </is>
      </c>
      <c r="K4" s="30" t="inlineStr">
        <is>
          <t>GlobalExceptionHandlerTest; ControllerIntegrationTests; RbacIntegrationTest; SecurityAnnotationArchTest; SystemFunctionalTests; AuthServiceTest; AuditLoggerTest; Spring method security and RBAC annotations detected; audit logging implementation detected; centralized safe error handling detected</t>
        </is>
      </c>
      <c r="L4" s="30" t="inlineStr">
        <is>
          <t>safe JSON response/error surface; RBAC roles and endpoint isolation; controller/service authorization guardrails; user data access isolation; authentication audit logging; sensitive log data checks; safe error response checks</t>
        </is>
      </c>
      <c r="M4" s="30" t="inlineStr">
        <is>
          <t>Keep make asvs-tracker passing; reassess if code, tests, or scope changes.</t>
        </is>
      </c>
    </row>
    <row r="5" ht="18" customHeight="1" s="26">
      <c r="A5" s="33" t="inlineStr">
        <is>
          <t>V14.2</t>
        </is>
      </c>
      <c r="B5" s="33" t="inlineStr">
        <is>
          <t>General Data Protection</t>
        </is>
      </c>
      <c r="C5" s="33" t="n"/>
      <c r="D5" s="33" t="n"/>
      <c r="E5" s="33" t="n"/>
      <c r="F5" s="33" t="n"/>
      <c r="G5" s="33" t="n"/>
      <c r="H5" s="33" t="n"/>
      <c r="I5" s="30" t="n"/>
      <c r="J5" s="30" t="n"/>
      <c r="K5" s="30" t="n"/>
      <c r="L5" s="30" t="n"/>
      <c r="M5" s="30" t="n"/>
    </row>
    <row r="6" ht="30" customHeight="1" s="26">
      <c r="A6" s="34" t="inlineStr">
        <is>
          <t>V14.2</t>
        </is>
      </c>
      <c r="B6" s="34" t="inlineStr">
        <is>
          <t>General Data Protection</t>
        </is>
      </c>
      <c r="C6" s="34" t="inlineStr">
        <is>
          <t>V14.2.1</t>
        </is>
      </c>
      <c r="D6" s="34" t="inlineStr">
        <is>
          <t>Verify that sensitive data is only sent to the server in the HTTP message body or header fields, and that the URL and query string do not contain sensitive information, such as an API key or session token.</t>
        </is>
      </c>
      <c r="E6" s="38" t="n">
        <v>1</v>
      </c>
      <c r="F6" s="36" t="inlineStr">
        <is>
          <t>Compliant</t>
        </is>
      </c>
      <c r="G6" s="34" t="inlineStr">
        <is>
          <t>Automatically marked compliant from passing evidence: JWT signature and algorithm validation; server-side price enforcement; JWT key strength and server-side signing; SQL injection regression and taint checks; SQL injection abuse-case regression.</t>
        </is>
      </c>
      <c r="H6" s="34" t="inlineStr">
        <is>
          <t>SR-03; SR-24; SR-04; SR-09; AC-05; AbuseCaseRegressionTest; JwtServiceTest; JwtAuthenticationFilterTest; SaleServiceTest; IastIntegrationTest; JWT service and signing/filter code detected</t>
        </is>
      </c>
      <c r="I6" s="30" t="inlineStr">
        <is>
          <t>Automatically inferred as implemented or justified from passing tests, source code, configuration, or build artifacts.</t>
        </is>
      </c>
      <c r="J6" s="30" t="inlineStr">
        <is>
          <t>Automated repository evidence</t>
        </is>
      </c>
      <c r="K6" s="30" t="inlineStr">
        <is>
          <t>AbuseCaseRegressionTest; JwtServiceTest; JwtAuthenticationFilterTest; SaleServiceTest; IastIntegrationTest; JWT service and signing/filter code detected</t>
        </is>
      </c>
      <c r="L6" s="30" t="inlineStr">
        <is>
          <t>JWT signature and algorithm validation; server-side price enforcement; JWT key strength and server-side signing; SQL injection regression and taint checks; SQL injection abuse-case regression</t>
        </is>
      </c>
      <c r="M6" s="30" t="inlineStr">
        <is>
          <t>Keep make asvs-tracker passing; reassess if code, tests, or scope changes.</t>
        </is>
      </c>
    </row>
    <row r="7" ht="30" customHeight="1" s="26">
      <c r="A7" s="37" t="inlineStr">
        <is>
          <t>V14.2</t>
        </is>
      </c>
      <c r="B7" s="37" t="inlineStr">
        <is>
          <t>General Data Protection</t>
        </is>
      </c>
      <c r="C7" s="37" t="inlineStr">
        <is>
          <t>V14.2.2</t>
        </is>
      </c>
      <c r="D7" s="37" t="inlineStr">
        <is>
          <t>Verify that the application prevents sensitive data from being cached in server components, such as load balancers and application caches, or ensures that the data is securely purged after use.</t>
        </is>
      </c>
      <c r="E7" s="35" t="n">
        <v>2</v>
      </c>
      <c r="F7" s="36" t="inlineStr">
        <is>
          <t>Compliant</t>
        </is>
      </c>
      <c r="G7" s="37" t="inlineStr">
        <is>
          <t>Automatically marked compliant from passing evidence: safe error response checks; dependency governance and SBOM; dependency update monitoring; pinned dependency rules.</t>
        </is>
      </c>
      <c r="H7" s="37" t="inlineStr">
        <is>
          <t>SR-46; SR-32; SR-33; SR-34; GlobalExceptionHandlerTest; ControllerIntegrationTests; Maven Enforcer; CycloneDX SBOM; Dependabot; pom.xml; SCA/SBOM/enforcer configuration detected; centralized safe error handling detected</t>
        </is>
      </c>
      <c r="I7" s="30" t="inlineStr">
        <is>
          <t>Automatically inferred as implemented or justified from passing tests, source code, configuration, or build artifacts.</t>
        </is>
      </c>
      <c r="J7" s="30" t="inlineStr">
        <is>
          <t>Automated repository evidence</t>
        </is>
      </c>
      <c r="K7" s="30" t="inlineStr">
        <is>
          <t>GlobalExceptionHandlerTest; ControllerIntegrationTests; Maven Enforcer; CycloneDX SBOM; Dependabot; pom.xml; SCA/SBOM/enforcer configuration detected; centralized safe error handling detected</t>
        </is>
      </c>
      <c r="L7" s="30" t="inlineStr">
        <is>
          <t>safe error response checks; dependency governance and SBOM; dependency update monitoring; pinned dependency rules</t>
        </is>
      </c>
      <c r="M7" s="30" t="inlineStr">
        <is>
          <t>Keep make asvs-tracker passing; reassess if code, tests, or scope changes.</t>
        </is>
      </c>
    </row>
    <row r="8" ht="30" customHeight="1" s="26">
      <c r="A8" s="34" t="inlineStr">
        <is>
          <t>V14.2</t>
        </is>
      </c>
      <c r="B8" s="34" t="inlineStr">
        <is>
          <t>General Data Protection</t>
        </is>
      </c>
      <c r="C8" s="34" t="inlineStr">
        <is>
          <t>V14.2.3</t>
        </is>
      </c>
      <c r="D8" s="34" t="inlineStr">
        <is>
          <t>Verify that defined sensitive data is not sent to untrusted parties (e.g., user trackers) to prevent unwanted collection of data outside of the application's control.</t>
        </is>
      </c>
      <c r="E8" s="35" t="n">
        <v>2</v>
      </c>
      <c r="F8" s="36" t="inlineStr">
        <is>
          <t>Compliant</t>
        </is>
      </c>
      <c r="G8" s="34" t="inlineStr">
        <is>
          <t>Automatically marked compliant from passing evidence: payment webhook HMAC validation.</t>
        </is>
      </c>
      <c r="H8" s="34" t="inlineStr">
        <is>
          <t>SR-19; AbuseCaseRegressionTest; PaymentGatewayServiceImplTest; HMAC webhook validation code detected</t>
        </is>
      </c>
      <c r="I8" s="30" t="inlineStr">
        <is>
          <t>Automatically inferred as implemented or justified from passing tests, source code, configuration, or build artifacts.</t>
        </is>
      </c>
      <c r="J8" s="30" t="inlineStr">
        <is>
          <t>Automated repository evidence</t>
        </is>
      </c>
      <c r="K8" s="30" t="inlineStr">
        <is>
          <t>AbuseCaseRegressionTest; PaymentGatewayServiceImplTest; HMAC webhook validation code detected</t>
        </is>
      </c>
      <c r="L8" s="30" t="inlineStr">
        <is>
          <t>payment webhook HMAC validation</t>
        </is>
      </c>
      <c r="M8" s="30" t="inlineStr">
        <is>
          <t>Keep make asvs-tracker passing; reassess if code, tests, or scope changes.</t>
        </is>
      </c>
    </row>
    <row r="9" ht="30" customHeight="1" s="26">
      <c r="A9" s="37" t="inlineStr">
        <is>
          <t>V14.2</t>
        </is>
      </c>
      <c r="B9" s="37" t="inlineStr">
        <is>
          <t>General Data Protection</t>
        </is>
      </c>
      <c r="C9" s="37" t="inlineStr">
        <is>
          <t>V14.2.4</t>
        </is>
      </c>
      <c r="D9" s="37"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35" t="n">
        <v>2</v>
      </c>
      <c r="F9" s="36" t="inlineStr">
        <is>
          <t>Compliant</t>
        </is>
      </c>
      <c r="G9" s="37" t="inlineStr">
        <is>
          <t>Automatically marked compliant from passing evidence: safe JSON response/error surface; RBAC roles and endpoint isolation; controller/service authorization guardrails; user data access isolation; authentication audit logging; sensitive log data checks; safe error response checks.</t>
        </is>
      </c>
      <c r="H9" s="37" t="inlineStr">
        <is>
          <t>SR-13; SR-14; SR-02; SR-06; SR-08; SR-37; SR-45; SR-46; GlobalExceptionHandlerTest; ControllerIntegrationTests; RbacIntegrationTest; SecurityAnnotationArchTest; SystemFunctionalTests; AuthServiceTest; AuditLoggerTest; Spring method security and RBAC annotations detected; audit logging implementation detected; centralized safe error handling detected</t>
        </is>
      </c>
      <c r="I9" s="30" t="inlineStr">
        <is>
          <t>Automatically inferred as implemented or justified from passing tests, source code, configuration, or build artifacts.</t>
        </is>
      </c>
      <c r="J9" s="30" t="inlineStr">
        <is>
          <t>Automated repository evidence</t>
        </is>
      </c>
      <c r="K9" s="30" t="inlineStr">
        <is>
          <t>GlobalExceptionHandlerTest; ControllerIntegrationTests; RbacIntegrationTest; SecurityAnnotationArchTest; SystemFunctionalTests; AuthServiceTest; AuditLoggerTest; Spring method security and RBAC annotations detected; audit logging implementation detected; centralized safe error handling detected</t>
        </is>
      </c>
      <c r="L9" s="30" t="inlineStr">
        <is>
          <t>safe JSON response/error surface; RBAC roles and endpoint isolation; controller/service authorization guardrails; user data access isolation; authentication audit logging; sensitive log data checks; safe error response checks</t>
        </is>
      </c>
      <c r="M9" s="30" t="inlineStr">
        <is>
          <t>Keep make asvs-tracker passing; reassess if code, tests, or scope changes.</t>
        </is>
      </c>
    </row>
    <row r="10" ht="30" customHeight="1" s="26">
      <c r="A10" s="34" t="inlineStr">
        <is>
          <t>V14.2</t>
        </is>
      </c>
      <c r="B10" s="34" t="inlineStr">
        <is>
          <t>General Data Protection</t>
        </is>
      </c>
      <c r="C10" s="34" t="inlineStr">
        <is>
          <t>V14.2.5</t>
        </is>
      </c>
      <c r="D10" s="34"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40" t="n">
        <v>3</v>
      </c>
      <c r="F10" s="36" t="inlineStr">
        <is>
          <t>Compliant</t>
        </is>
      </c>
      <c r="G10" s="34" t="inlineStr">
        <is>
          <t>Automatically marked compliant from passing evidence: safe error response checks; path traversal and report sandboxing; unsafe path/link handling; path traversal abuse-case regression.</t>
        </is>
      </c>
      <c r="H10" s="34" t="inlineStr">
        <is>
          <t>SR-46; SR-26; SR-27; AC-06; GlobalExceptionHandlerTest; ControllerIntegrationTests; PathValidatorImplTest; ReportDirectoryServiceImplTest; AbuseCaseRegressionTest; path validation and report sandbox code detected; centralized safe error handling detected</t>
        </is>
      </c>
      <c r="I10" s="30" t="inlineStr">
        <is>
          <t>Automatically inferred as implemented or justified from passing tests, source code, configuration, or build artifacts.</t>
        </is>
      </c>
      <c r="J10" s="30" t="inlineStr">
        <is>
          <t>Automated repository evidence</t>
        </is>
      </c>
      <c r="K10" s="30" t="inlineStr">
        <is>
          <t>GlobalExceptionHandlerTest; ControllerIntegrationTests; PathValidatorImplTest; ReportDirectoryServiceImplTest; AbuseCaseRegressionTest; path validation and report sandbox code detected; centralized safe error handling detected</t>
        </is>
      </c>
      <c r="L10" s="30" t="inlineStr">
        <is>
          <t>safe error response checks; path traversal and report sandboxing; unsafe path/link handling; path traversal abuse-case regression</t>
        </is>
      </c>
      <c r="M10" s="30" t="inlineStr">
        <is>
          <t>Keep make asvs-tracker passing; reassess if code, tests, or scope changes.</t>
        </is>
      </c>
    </row>
    <row r="11" ht="30" customHeight="1" s="26">
      <c r="A11" s="37" t="inlineStr">
        <is>
          <t>V14.2</t>
        </is>
      </c>
      <c r="B11" s="37" t="inlineStr">
        <is>
          <t>General Data Protection</t>
        </is>
      </c>
      <c r="C11" s="37" t="inlineStr">
        <is>
          <t>V14.2.6</t>
        </is>
      </c>
      <c r="D11" s="37"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40" t="n">
        <v>3</v>
      </c>
      <c r="F11" s="36" t="inlineStr">
        <is>
          <t>Compliant</t>
        </is>
      </c>
      <c r="G11" s="37" t="inlineStr">
        <is>
          <t>Automatically marked compliant from passing evidence: DTO response boundaries and unknown-field rejection.</t>
        </is>
      </c>
      <c r="H11" s="37" t="inlineStr">
        <is>
          <t>SR-16; ControllerUnitTests; GlobalExceptionHandlerTest</t>
        </is>
      </c>
      <c r="I11" s="30" t="inlineStr">
        <is>
          <t>Automatically inferred as implemented or justified from passing tests, source code, configuration, or build artifacts.</t>
        </is>
      </c>
      <c r="J11" s="30" t="inlineStr">
        <is>
          <t>Automated repository evidence</t>
        </is>
      </c>
      <c r="K11" s="30" t="inlineStr">
        <is>
          <t>ControllerUnitTests; GlobalExceptionHandlerTest</t>
        </is>
      </c>
      <c r="L11" s="30" t="inlineStr">
        <is>
          <t>DTO response boundaries and unknown-field rejection</t>
        </is>
      </c>
      <c r="M11" s="30" t="inlineStr">
        <is>
          <t>Keep make asvs-tracker passing; reassess if code, tests, or scope changes.</t>
        </is>
      </c>
    </row>
    <row r="12" ht="30" customHeight="1" s="26">
      <c r="A12" s="34" t="inlineStr">
        <is>
          <t>V14.2</t>
        </is>
      </c>
      <c r="B12" s="34" t="inlineStr">
        <is>
          <t>General Data Protection</t>
        </is>
      </c>
      <c r="C12" s="34" t="inlineStr">
        <is>
          <t>V14.2.7</t>
        </is>
      </c>
      <c r="D12" s="34" t="inlineStr">
        <is>
          <t>Verify that sensitive information is subject to data retention classification, ensuring that outdated or unnecessary data is deleted automatically, on a defined schedule, or as the situation requires.</t>
        </is>
      </c>
      <c r="E12" s="40" t="n">
        <v>3</v>
      </c>
      <c r="F12" s="41" t="inlineStr">
        <is>
          <t>Planned</t>
        </is>
      </c>
      <c r="G12" s="34" t="inlineStr">
        <is>
          <t>Automatically marked planned because no direct implementation, test, or scope exemption matched this ASVS row.</t>
        </is>
      </c>
      <c r="H12" s="34" t="inlineStr">
        <is>
          <t>Automated inference found no strong repository evidence</t>
        </is>
      </c>
      <c r="I12" s="30" t="inlineStr">
        <is>
          <t>Automatically inferred as required or potentially relevant, but not yet proven by strong repository evidence.</t>
        </is>
      </c>
      <c r="J12" s="30" t="inlineStr">
        <is>
          <t>Evidence needed</t>
        </is>
      </c>
      <c r="K12" s="30" t="inlineStr">
        <is>
          <t>No direct automated evidence matched this ASVS row.</t>
        </is>
      </c>
      <c r="L12" s="30" t="inlineStr">
        <is>
          <t>ASVS row V14.2.7; level 3</t>
        </is>
      </c>
      <c r="M12" s="30" t="inlineStr">
        <is>
          <t>Implement the control or add a targeted test/evidence rule, then rerun make asvs-tracker.</t>
        </is>
      </c>
    </row>
    <row r="13" ht="30" customHeight="1" s="26">
      <c r="A13" s="37" t="inlineStr">
        <is>
          <t>V14.2</t>
        </is>
      </c>
      <c r="B13" s="37" t="inlineStr">
        <is>
          <t>General Data Protection</t>
        </is>
      </c>
      <c r="C13" s="37" t="inlineStr">
        <is>
          <t>V14.2.8</t>
        </is>
      </c>
      <c r="D13" s="37" t="inlineStr">
        <is>
          <t>Verify that sensitive information is removed from the metadata of user-submitted files unless storage is consented to by the user.</t>
        </is>
      </c>
      <c r="E13" s="40" t="n">
        <v>3</v>
      </c>
      <c r="F13" s="36" t="inlineStr">
        <is>
          <t>Compliant</t>
        </is>
      </c>
      <c r="G13" s="37" t="inlineStr">
        <is>
          <t>Automatically marked compliant from passing evidence: path traversal and report sandboxing; unsafe path/link handling; path traversal abuse-case regression.</t>
        </is>
      </c>
      <c r="H13" s="37" t="inlineStr">
        <is>
          <t>SR-26; SR-27; AC-06; PathValidatorImplTest; ReportDirectoryServiceImplTest; AbuseCaseRegressionTest; path validation and report sandbox code detected</t>
        </is>
      </c>
      <c r="I13" s="30" t="inlineStr">
        <is>
          <t>Automatically inferred as implemented or justified from passing tests, source code, configuration, or build artifacts.</t>
        </is>
      </c>
      <c r="J13" s="30" t="inlineStr">
        <is>
          <t>Automated repository evidence</t>
        </is>
      </c>
      <c r="K13" s="30" t="inlineStr">
        <is>
          <t>PathValidatorImplTest; ReportDirectoryServiceImplTest; AbuseCaseRegressionTest; path validation and report sandbox code detected</t>
        </is>
      </c>
      <c r="L13" s="30" t="inlineStr">
        <is>
          <t>path traversal and report sandboxing; unsafe path/link handling; path traversal abuse-case regression</t>
        </is>
      </c>
      <c r="M13" s="30" t="inlineStr">
        <is>
          <t>Keep make asvs-tracker passing; reassess if code, tests, or scope changes.</t>
        </is>
      </c>
    </row>
    <row r="14" ht="18" customHeight="1" s="26">
      <c r="A14" s="33" t="inlineStr">
        <is>
          <t>V14.3</t>
        </is>
      </c>
      <c r="B14" s="33" t="inlineStr">
        <is>
          <t>Client-side Data Protection</t>
        </is>
      </c>
      <c r="C14" s="33" t="n"/>
      <c r="D14" s="33" t="n"/>
      <c r="E14" s="33" t="n"/>
      <c r="F14" s="33" t="n"/>
      <c r="G14" s="33" t="n"/>
      <c r="H14" s="33" t="n"/>
      <c r="I14" s="30" t="n"/>
      <c r="J14" s="30" t="n"/>
      <c r="K14" s="30" t="n"/>
      <c r="L14" s="30" t="n"/>
      <c r="M14" s="30" t="n"/>
    </row>
    <row r="15" ht="30" customHeight="1" s="26">
      <c r="A15" s="34" t="inlineStr">
        <is>
          <t>V14.3</t>
        </is>
      </c>
      <c r="B15" s="34" t="inlineStr">
        <is>
          <t>Client-side Data Protection</t>
        </is>
      </c>
      <c r="C15" s="34" t="inlineStr">
        <is>
          <t>V14.3.1</t>
        </is>
      </c>
      <c r="D15" s="34"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38" t="n">
        <v>1</v>
      </c>
      <c r="F15" s="39" t="inlineStr">
        <is>
          <t>N/A</t>
        </is>
      </c>
      <c r="G15" s="34" t="inlineStr">
        <is>
          <t>Automatically marked out of scope: No browser-rendered frontend surface is present in this repository.</t>
        </is>
      </c>
      <c r="H15" s="34" t="inlineStr">
        <is>
          <t>Automated scope inference</t>
        </is>
      </c>
      <c r="I15" s="30" t="inlineStr">
        <is>
          <t>Out of scope for VendNet as currently implemented, or the requirement does not apply to this REST API/backend.</t>
        </is>
      </c>
      <c r="J15" s="30" t="inlineStr">
        <is>
          <t>Scope inference</t>
        </is>
      </c>
      <c r="K15" s="30" t="inlineStr">
        <is>
          <t>Not required for current backend scope.</t>
        </is>
      </c>
      <c r="L15" s="30" t="inlineStr">
        <is>
          <t>No browser-rendered frontend surface is present in this repository.</t>
        </is>
      </c>
      <c r="M15" s="30" t="inlineStr">
        <is>
          <t>Revisit if the application scope changes.</t>
        </is>
      </c>
    </row>
    <row r="16" ht="30" customHeight="1" s="26">
      <c r="A16" s="37" t="inlineStr">
        <is>
          <t>V14.3</t>
        </is>
      </c>
      <c r="B16" s="37" t="inlineStr">
        <is>
          <t>Client-side Data Protection</t>
        </is>
      </c>
      <c r="C16" s="37" t="inlineStr">
        <is>
          <t>V14.3.2</t>
        </is>
      </c>
      <c r="D16" s="37" t="inlineStr">
        <is>
          <t>Verify that the application sets sufficient anti-caching HTTP response header fields (i.e., Cache-Control: no-store) so that sensitive data is not cached in browsers.</t>
        </is>
      </c>
      <c r="E16" s="35" t="n">
        <v>2</v>
      </c>
      <c r="F16" s="39" t="inlineStr">
        <is>
          <t>N/A</t>
        </is>
      </c>
      <c r="G16" s="37" t="inlineStr">
        <is>
          <t>Automatically marked out of scope: No browser-rendered frontend surface is present in this repository.</t>
        </is>
      </c>
      <c r="H16" s="37" t="inlineStr">
        <is>
          <t>Automated scope inference</t>
        </is>
      </c>
      <c r="I16" s="30" t="inlineStr">
        <is>
          <t>Out of scope for VendNet as currently implemented, or the requirement does not apply to this REST API/backend.</t>
        </is>
      </c>
      <c r="J16" s="30" t="inlineStr">
        <is>
          <t>Scope inference</t>
        </is>
      </c>
      <c r="K16" s="30" t="inlineStr">
        <is>
          <t>Not required for current backend scope.</t>
        </is>
      </c>
      <c r="L16" s="30" t="inlineStr">
        <is>
          <t>No browser-rendered frontend surface is present in this repository.</t>
        </is>
      </c>
      <c r="M16" s="30" t="inlineStr">
        <is>
          <t>Revisit if the application scope changes.</t>
        </is>
      </c>
    </row>
    <row r="17" ht="30" customHeight="1" s="26">
      <c r="A17" s="34" t="inlineStr">
        <is>
          <t>V14.3</t>
        </is>
      </c>
      <c r="B17" s="34" t="inlineStr">
        <is>
          <t>Client-side Data Protection</t>
        </is>
      </c>
      <c r="C17" s="34" t="inlineStr">
        <is>
          <t>V14.3.3</t>
        </is>
      </c>
      <c r="D17" s="34" t="inlineStr">
        <is>
          <t>Verify that data stored in browser storage (such as localStorage, sessionStorage, IndexedDB, or cookies) does not contain sensitive data, with the exception of session tokens.</t>
        </is>
      </c>
      <c r="E17" s="35" t="n">
        <v>2</v>
      </c>
      <c r="F17" s="39" t="inlineStr">
        <is>
          <t>N/A</t>
        </is>
      </c>
      <c r="G17" s="34" t="inlineStr">
        <is>
          <t>Automatically marked out of scope: No browser-rendered frontend surface is present in this repository.</t>
        </is>
      </c>
      <c r="H17" s="34" t="inlineStr">
        <is>
          <t>Automated scope inference</t>
        </is>
      </c>
      <c r="I17" s="30" t="inlineStr">
        <is>
          <t>Out of scope for VendNet as currently implemented, or the requirement does not apply to this REST API/backend.</t>
        </is>
      </c>
      <c r="J17" s="30" t="inlineStr">
        <is>
          <t>Scope inference</t>
        </is>
      </c>
      <c r="K17" s="30" t="inlineStr">
        <is>
          <t>Not required for current backend scope.</t>
        </is>
      </c>
      <c r="L17" s="30" t="inlineStr">
        <is>
          <t>No browser-rendered frontend surface is present in this repository.</t>
        </is>
      </c>
      <c r="M17" s="30" t="inlineStr">
        <is>
          <t>Revisit if the application scope changes.</t>
        </is>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7.xml><?xml version="1.0" encoding="utf-8"?>
<worksheet xmlns="http://schemas.openxmlformats.org/spreadsheetml/2006/main">
  <sheetPr>
    <outlinePr summaryBelow="1" summaryRight="1"/>
    <pageSetUpPr/>
  </sheetPr>
  <dimension ref="A1:M2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V15.1</t>
        </is>
      </c>
      <c r="B2" s="33" t="inlineStr">
        <is>
          <t>Secure Coding and Architecture Documentation</t>
        </is>
      </c>
      <c r="C2" s="33" t="n"/>
      <c r="D2" s="33" t="n"/>
      <c r="E2" s="33" t="n"/>
      <c r="F2" s="33" t="n"/>
      <c r="G2" s="33" t="n"/>
      <c r="H2" s="33" t="n"/>
      <c r="I2" s="30" t="n"/>
      <c r="J2" s="30" t="n"/>
      <c r="K2" s="30" t="n"/>
      <c r="L2" s="30" t="n"/>
      <c r="M2" s="30" t="n"/>
    </row>
    <row r="3" ht="30" customHeight="1" s="26">
      <c r="A3" s="34" t="inlineStr">
        <is>
          <t>V15.1</t>
        </is>
      </c>
      <c r="B3" s="34" t="inlineStr">
        <is>
          <t>Secure Coding and Architecture Documentation</t>
        </is>
      </c>
      <c r="C3" s="34" t="inlineStr">
        <is>
          <t>V15.1.1</t>
        </is>
      </c>
      <c r="D3" s="34" t="inlineStr">
        <is>
          <t>Verify that application documentation defines risk based remediation time frames for 3rd party component versions with vulnerabilities and for updating libraries in general, to minimize the risk from these components.</t>
        </is>
      </c>
      <c r="E3" s="38" t="n">
        <v>1</v>
      </c>
      <c r="F3" s="36" t="inlineStr">
        <is>
          <t>Compliant</t>
        </is>
      </c>
      <c r="G3" s="34" t="inlineStr">
        <is>
          <t>Automatically marked compliant from passing evidence: dependency update monitoring; pinned dependency rules; dependency governance and SBOM.</t>
        </is>
      </c>
      <c r="H3" s="34" t="inlineStr">
        <is>
          <t>SR-33; SR-34; SR-32; Dependabot; CycloneDX SBOM; Maven Enforcer; pom.xml; SCA/SBOM/enforcer configuration detected</t>
        </is>
      </c>
      <c r="I3" s="30" t="inlineStr">
        <is>
          <t>Automatically inferred as implemented or justified from passing tests, source code, configuration, or build artifacts.</t>
        </is>
      </c>
      <c r="J3" s="30" t="inlineStr">
        <is>
          <t>Automated repository evidence</t>
        </is>
      </c>
      <c r="K3" s="30" t="inlineStr">
        <is>
          <t>Dependabot; CycloneDX SBOM; Maven Enforcer; pom.xml; SCA/SBOM/enforcer configuration detected</t>
        </is>
      </c>
      <c r="L3" s="30" t="inlineStr">
        <is>
          <t>dependency update monitoring; pinned dependency rules; dependency governance and SBOM</t>
        </is>
      </c>
      <c r="M3" s="30" t="inlineStr">
        <is>
          <t>Keep make asvs-tracker passing; reassess if code, tests, or scope changes.</t>
        </is>
      </c>
    </row>
    <row r="4" ht="30" customHeight="1" s="26">
      <c r="A4" s="37" t="inlineStr">
        <is>
          <t>V15.1</t>
        </is>
      </c>
      <c r="B4" s="37" t="inlineStr">
        <is>
          <t>Secure Coding and Architecture Documentation</t>
        </is>
      </c>
      <c r="C4" s="37" t="inlineStr">
        <is>
          <t>V15.1.2</t>
        </is>
      </c>
      <c r="D4" s="37" t="inlineStr">
        <is>
          <t>Verify that an inventory catalog, such as software bill of materials (SBOM), is maintained of all third-party libraries in use, including verifying that components come from pre-defined, trusted, and continually maintained repositories.</t>
        </is>
      </c>
      <c r="E4" s="35" t="n">
        <v>2</v>
      </c>
      <c r="F4" s="36" t="inlineStr">
        <is>
          <t>Compliant</t>
        </is>
      </c>
      <c r="G4" s="37" t="inlineStr">
        <is>
          <t>Automatically marked compliant from passing evidence: dependency governance and SBOM; pinned dependency rules; dependency update monitoring; authentication audit logging; sensitive log data checks; safe error response checks.</t>
        </is>
      </c>
      <c r="H4" s="37" t="inlineStr">
        <is>
          <t>SR-32; SR-34; SR-33; SR-37; SR-45; SR-46; Maven Enforcer; CycloneDX SBOM; pom.xml; Dependabot; AuthServiceTest; AuditLoggerTest; GlobalExceptionHandlerTest; ControllerIntegrationTests; audit logging implementation detected; SCA/SBOM/enforcer configuration detected; centralized safe error handling detected</t>
        </is>
      </c>
      <c r="I4" s="30" t="inlineStr">
        <is>
          <t>Automatically inferred as implemented or justified from passing tests, source code, configuration, or build artifacts.</t>
        </is>
      </c>
      <c r="J4" s="30" t="inlineStr">
        <is>
          <t>Automated repository evidence</t>
        </is>
      </c>
      <c r="K4" s="30" t="inlineStr">
        <is>
          <t>Maven Enforcer; CycloneDX SBOM; pom.xml; Dependabot; AuthServiceTest; AuditLoggerTest; GlobalExceptionHandlerTest; ControllerIntegrationTests; audit logging implementation detected; SCA/SBOM/enforcer configuration detected; centralized safe error handling detected</t>
        </is>
      </c>
      <c r="L4" s="30" t="inlineStr">
        <is>
          <t>dependency governance and SBOM; pinned dependency rules; dependency update monitoring; authentication audit logging; sensitive log data checks; safe error response checks</t>
        </is>
      </c>
      <c r="M4" s="30" t="inlineStr">
        <is>
          <t>Keep make asvs-tracker passing; reassess if code, tests, or scope changes.</t>
        </is>
      </c>
    </row>
    <row r="5" ht="30" customHeight="1" s="26">
      <c r="A5" s="34" t="inlineStr">
        <is>
          <t>V15.1</t>
        </is>
      </c>
      <c r="B5" s="34" t="inlineStr">
        <is>
          <t>Secure Coding and Architecture Documentation</t>
        </is>
      </c>
      <c r="C5" s="34" t="inlineStr">
        <is>
          <t>V15.1.3</t>
        </is>
      </c>
      <c r="D5" s="34"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35" t="n">
        <v>2</v>
      </c>
      <c r="F5" s="36" t="inlineStr">
        <is>
          <t>Compliant</t>
        </is>
      </c>
      <c r="G5" s="34" t="inlineStr">
        <is>
          <t>Automatically marked compliant from passing evidence: pagination/large-response controls.</t>
        </is>
      </c>
      <c r="H5" s="34" t="inlineStr">
        <is>
          <t>SR-36; SR-31; ControllerIntegrationTests; SystemFunctionalTests</t>
        </is>
      </c>
      <c r="I5" s="30" t="inlineStr">
        <is>
          <t>Automatically inferred as implemented or justified from passing tests, source code, configuration, or build artifacts.</t>
        </is>
      </c>
      <c r="J5" s="30" t="inlineStr">
        <is>
          <t>Automated repository evidence</t>
        </is>
      </c>
      <c r="K5" s="30" t="inlineStr">
        <is>
          <t>ControllerIntegrationTests; SystemFunctionalTests</t>
        </is>
      </c>
      <c r="L5" s="30" t="inlineStr">
        <is>
          <t>pagination/large-response controls</t>
        </is>
      </c>
      <c r="M5" s="30" t="inlineStr">
        <is>
          <t>Keep make asvs-tracker passing; reassess if code, tests, or scope changes.</t>
        </is>
      </c>
    </row>
    <row r="6" ht="30" customHeight="1" s="26">
      <c r="A6" s="37" t="inlineStr">
        <is>
          <t>V15.1</t>
        </is>
      </c>
      <c r="B6" s="37" t="inlineStr">
        <is>
          <t>Secure Coding and Architecture Documentation</t>
        </is>
      </c>
      <c r="C6" s="37" t="inlineStr">
        <is>
          <t>V15.1.4</t>
        </is>
      </c>
      <c r="D6" s="37" t="inlineStr">
        <is>
          <t>Verify that application documentation highlights third-party libraries which are considered to be "risky components".</t>
        </is>
      </c>
      <c r="E6" s="40" t="n">
        <v>3</v>
      </c>
      <c r="F6" s="36" t="inlineStr">
        <is>
          <t>Compliant</t>
        </is>
      </c>
      <c r="G6" s="37" t="inlineStr">
        <is>
          <t>Automatically marked compliant from passing evidence: dependency governance and SBOM; dependency update monitoring; pinned dependency rules.</t>
        </is>
      </c>
      <c r="H6" s="37" t="inlineStr">
        <is>
          <t>SR-32; SR-33; SR-34; Maven Enforcer; CycloneDX SBOM; Dependabot; pom.xml; SCA/SBOM/enforcer configuration detected</t>
        </is>
      </c>
      <c r="I6" s="30" t="inlineStr">
        <is>
          <t>Automatically inferred as implemented or justified from passing tests, source code, configuration, or build artifacts.</t>
        </is>
      </c>
      <c r="J6" s="30" t="inlineStr">
        <is>
          <t>Automated repository evidence</t>
        </is>
      </c>
      <c r="K6" s="30" t="inlineStr">
        <is>
          <t>Maven Enforcer; CycloneDX SBOM; Dependabot; pom.xml; SCA/SBOM/enforcer configuration detected</t>
        </is>
      </c>
      <c r="L6" s="30" t="inlineStr">
        <is>
          <t>dependency governance and SBOM; dependency update monitoring; pinned dependency rules</t>
        </is>
      </c>
      <c r="M6" s="30" t="inlineStr">
        <is>
          <t>Keep make asvs-tracker passing; reassess if code, tests, or scope changes.</t>
        </is>
      </c>
    </row>
    <row r="7" ht="30" customHeight="1" s="26">
      <c r="A7" s="34" t="inlineStr">
        <is>
          <t>V15.1</t>
        </is>
      </c>
      <c r="B7" s="34" t="inlineStr">
        <is>
          <t>Secure Coding and Architecture Documentation</t>
        </is>
      </c>
      <c r="C7" s="34" t="inlineStr">
        <is>
          <t>V15.1.5</t>
        </is>
      </c>
      <c r="D7" s="34" t="inlineStr">
        <is>
          <t>Verify that application documentation highlights parts of the application where "dangerous functionality" is being used.</t>
        </is>
      </c>
      <c r="E7" s="40" t="n">
        <v>3</v>
      </c>
      <c r="F7" s="41" t="inlineStr">
        <is>
          <t>Planned</t>
        </is>
      </c>
      <c r="G7" s="34" t="inlineStr">
        <is>
          <t>Automatically marked planned because no direct implementation, test, or scope exemption matched this ASVS row.</t>
        </is>
      </c>
      <c r="H7" s="34" t="inlineStr">
        <is>
          <t>Automated inference found no strong repository evidence</t>
        </is>
      </c>
      <c r="I7" s="30" t="inlineStr">
        <is>
          <t>Automatically inferred as required or potentially relevant, but not yet proven by strong repository evidence.</t>
        </is>
      </c>
      <c r="J7" s="30" t="inlineStr">
        <is>
          <t>Evidence needed</t>
        </is>
      </c>
      <c r="K7" s="30" t="inlineStr">
        <is>
          <t>No direct automated evidence matched this ASVS row.</t>
        </is>
      </c>
      <c r="L7" s="30" t="inlineStr">
        <is>
          <t>ASVS row V15.1.5; level 3</t>
        </is>
      </c>
      <c r="M7" s="30" t="inlineStr">
        <is>
          <t>Implement the control or add a targeted test/evidence rule, then rerun make asvs-tracker.</t>
        </is>
      </c>
    </row>
    <row r="8" ht="18" customHeight="1" s="26">
      <c r="A8" s="33" t="inlineStr">
        <is>
          <t>V15.2</t>
        </is>
      </c>
      <c r="B8" s="33" t="inlineStr">
        <is>
          <t>Security Architecture and Dependencies</t>
        </is>
      </c>
      <c r="C8" s="33" t="n"/>
      <c r="D8" s="33" t="n"/>
      <c r="E8" s="33" t="n"/>
      <c r="F8" s="33" t="n"/>
      <c r="G8" s="33" t="n"/>
      <c r="H8" s="33" t="n"/>
      <c r="I8" s="30" t="n"/>
      <c r="J8" s="30" t="n"/>
      <c r="K8" s="30" t="n"/>
      <c r="L8" s="30" t="n"/>
      <c r="M8" s="30" t="n"/>
    </row>
    <row r="9" ht="30" customHeight="1" s="26">
      <c r="A9" s="34" t="inlineStr">
        <is>
          <t>V15.2</t>
        </is>
      </c>
      <c r="B9" s="34" t="inlineStr">
        <is>
          <t>Security Architecture and Dependencies</t>
        </is>
      </c>
      <c r="C9" s="34" t="inlineStr">
        <is>
          <t>V15.2.1</t>
        </is>
      </c>
      <c r="D9" s="34" t="inlineStr">
        <is>
          <t>Verify that the application only contains components which have not breached the documented update and remediation time frames.</t>
        </is>
      </c>
      <c r="E9" s="38" t="n">
        <v>1</v>
      </c>
      <c r="F9" s="36" t="inlineStr">
        <is>
          <t>Compliant</t>
        </is>
      </c>
      <c r="G9" s="34" t="inlineStr">
        <is>
          <t>Automatically marked compliant from passing evidence: dependency update monitoring; pinned dependency rules; dependency governance and SBOM.</t>
        </is>
      </c>
      <c r="H9" s="34" t="inlineStr">
        <is>
          <t>SR-33; SR-34; SR-32; Dependabot; CycloneDX SBOM; Maven Enforcer; pom.xml; SCA/SBOM/enforcer configuration detected</t>
        </is>
      </c>
      <c r="I9" s="30" t="inlineStr">
        <is>
          <t>Automatically inferred as implemented or justified from passing tests, source code, configuration, or build artifacts.</t>
        </is>
      </c>
      <c r="J9" s="30" t="inlineStr">
        <is>
          <t>Automated repository evidence</t>
        </is>
      </c>
      <c r="K9" s="30" t="inlineStr">
        <is>
          <t>Dependabot; CycloneDX SBOM; Maven Enforcer; pom.xml; SCA/SBOM/enforcer configuration detected</t>
        </is>
      </c>
      <c r="L9" s="30" t="inlineStr">
        <is>
          <t>dependency update monitoring; pinned dependency rules; dependency governance and SBOM</t>
        </is>
      </c>
      <c r="M9" s="30" t="inlineStr">
        <is>
          <t>Keep make asvs-tracker passing; reassess if code, tests, or scope changes.</t>
        </is>
      </c>
    </row>
    <row r="10" ht="30" customHeight="1" s="26">
      <c r="A10" s="37" t="inlineStr">
        <is>
          <t>V15.2</t>
        </is>
      </c>
      <c r="B10" s="37" t="inlineStr">
        <is>
          <t>Security Architecture and Dependencies</t>
        </is>
      </c>
      <c r="C10" s="37" t="inlineStr">
        <is>
          <t>V15.2.2</t>
        </is>
      </c>
      <c r="D10" s="37" t="inlineStr">
        <is>
          <t>Verify that the application has implemented defenses against loss of availability due to functionality which is time-consuming or resource-demanding, based on the documented security decisions and strategies for this.</t>
        </is>
      </c>
      <c r="E10" s="35" t="n">
        <v>2</v>
      </c>
      <c r="F10" s="36" t="inlineStr">
        <is>
          <t>Compliant</t>
        </is>
      </c>
      <c r="G10" s="37" t="inlineStr">
        <is>
          <t>Automatically marked compliant from passing evidence: payload/request limit coverage.</t>
        </is>
      </c>
      <c r="H10" s="37" t="inlineStr">
        <is>
          <t>SR-30; SR-36; SystemFunctionalTests; application.properties; Bean Validation and request-shape controls detected</t>
        </is>
      </c>
      <c r="I10" s="30" t="inlineStr">
        <is>
          <t>Automatically inferred as implemented or justified from passing tests, source code, configuration, or build artifacts.</t>
        </is>
      </c>
      <c r="J10" s="30" t="inlineStr">
        <is>
          <t>Automated repository evidence</t>
        </is>
      </c>
      <c r="K10" s="30" t="inlineStr">
        <is>
          <t>SystemFunctionalTests; application.properties; Bean Validation and request-shape controls detected</t>
        </is>
      </c>
      <c r="L10" s="30" t="inlineStr">
        <is>
          <t>payload/request limit coverage</t>
        </is>
      </c>
      <c r="M10" s="30" t="inlineStr">
        <is>
          <t>Keep make asvs-tracker passing; reassess if code, tests, or scope changes.</t>
        </is>
      </c>
    </row>
    <row r="11" ht="30" customHeight="1" s="26">
      <c r="A11" s="34" t="inlineStr">
        <is>
          <t>V15.2</t>
        </is>
      </c>
      <c r="B11" s="34" t="inlineStr">
        <is>
          <t>Security Architecture and Dependencies</t>
        </is>
      </c>
      <c r="C11" s="34" t="inlineStr">
        <is>
          <t>V15.2.3</t>
        </is>
      </c>
      <c r="D11" s="34" t="inlineStr">
        <is>
          <t>Verify that the production environment only includes functionality that is required for the application to function, and does not expose extraneous functionality such as test code, sample snippets, and development functionality.</t>
        </is>
      </c>
      <c r="E11" s="35" t="n">
        <v>2</v>
      </c>
      <c r="F11" s="36" t="inlineStr">
        <is>
          <t>Compliant</t>
        </is>
      </c>
      <c r="G11" s="34" t="inlineStr">
        <is>
          <t>Automatically marked compliant from passing evidence: safe error response checks; secrets externalized through configuration; pinned dependency rules.</t>
        </is>
      </c>
      <c r="H11" s="34" t="inlineStr">
        <is>
          <t>SR-46; SR-11; SR-34; GlobalExceptionHandlerTest; ControllerIntegrationTests; GitHub Actions secret scan; application-prod.properties; Maven Enforcer; pom.xml; SCA/SBOM/enforcer configuration detected; centralized safe error handling detected; CI secret/security scanning configuration detected</t>
        </is>
      </c>
      <c r="I11" s="30" t="inlineStr">
        <is>
          <t>Automatically inferred as implemented or justified from passing tests, source code, configuration, or build artifacts.</t>
        </is>
      </c>
      <c r="J11" s="30" t="inlineStr">
        <is>
          <t>Automated repository evidence</t>
        </is>
      </c>
      <c r="K11" s="30" t="inlineStr">
        <is>
          <t>GlobalExceptionHandlerTest; ControllerIntegrationTests; GitHub Actions secret scan; application-prod.properties; Maven Enforcer; pom.xml; SCA/SBOM/enforcer configuration detected; centralized safe error handling detected; CI secret/security scanning configuration detected</t>
        </is>
      </c>
      <c r="L11" s="30" t="inlineStr">
        <is>
          <t>safe error response checks; secrets externalized through configuration; pinned dependency rules</t>
        </is>
      </c>
      <c r="M11" s="30" t="inlineStr">
        <is>
          <t>Keep make asvs-tracker passing; reassess if code, tests, or scope changes.</t>
        </is>
      </c>
    </row>
    <row r="12" ht="30" customHeight="1" s="26">
      <c r="A12" s="37" t="inlineStr">
        <is>
          <t>V15.2</t>
        </is>
      </c>
      <c r="B12" s="37" t="inlineStr">
        <is>
          <t>Security Architecture and Dependencies</t>
        </is>
      </c>
      <c r="C12" s="37" t="inlineStr">
        <is>
          <t>V15.2.4</t>
        </is>
      </c>
      <c r="D12" s="37" t="inlineStr">
        <is>
          <t>Verify that third-party components and all of their transitive dependencies are included from the expected repository, whether internally owned or an external source, and that there is no risk of a dependency confusion attack.</t>
        </is>
      </c>
      <c r="E12" s="40" t="n">
        <v>3</v>
      </c>
      <c r="F12" s="36" t="inlineStr">
        <is>
          <t>Compliant</t>
        </is>
      </c>
      <c r="G12" s="37" t="inlineStr">
        <is>
          <t>Automatically marked compliant from passing evidence: dependency governance and SBOM; pinned dependency rules; dependency update monitoring.</t>
        </is>
      </c>
      <c r="H12" s="37" t="inlineStr">
        <is>
          <t>SR-32; SR-34; SR-33; Maven Enforcer; CycloneDX SBOM; pom.xml; Dependabot; SCA/SBOM/enforcer configuration detected</t>
        </is>
      </c>
      <c r="I12" s="30" t="inlineStr">
        <is>
          <t>Automatically inferred as implemented or justified from passing tests, source code, configuration, or build artifacts.</t>
        </is>
      </c>
      <c r="J12" s="30" t="inlineStr">
        <is>
          <t>Automated repository evidence</t>
        </is>
      </c>
      <c r="K12" s="30" t="inlineStr">
        <is>
          <t>Maven Enforcer; CycloneDX SBOM; pom.xml; Dependabot; SCA/SBOM/enforcer configuration detected</t>
        </is>
      </c>
      <c r="L12" s="30" t="inlineStr">
        <is>
          <t>dependency governance and SBOM; pinned dependency rules; dependency update monitoring</t>
        </is>
      </c>
      <c r="M12" s="30" t="inlineStr">
        <is>
          <t>Keep make asvs-tracker passing; reassess if code, tests, or scope changes.</t>
        </is>
      </c>
    </row>
    <row r="13" ht="30" customHeight="1" s="26">
      <c r="A13" s="34" t="inlineStr">
        <is>
          <t>V15.2</t>
        </is>
      </c>
      <c r="B13" s="34" t="inlineStr">
        <is>
          <t>Security Architecture and Dependencies</t>
        </is>
      </c>
      <c r="C13" s="34" t="inlineStr">
        <is>
          <t>V15.2.5</t>
        </is>
      </c>
      <c r="D13" s="34"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40" t="n">
        <v>3</v>
      </c>
      <c r="F13" s="36" t="inlineStr">
        <is>
          <t>Compliant</t>
        </is>
      </c>
      <c r="G13" s="34" t="inlineStr">
        <is>
          <t>Automatically marked compliant from passing evidence: dependency governance and SBOM; dependency update monitoring; pinned dependency rules.</t>
        </is>
      </c>
      <c r="H13" s="34" t="inlineStr">
        <is>
          <t>SR-35; SR-36; SR-32; SR-33; SR-34; Maven Enforcer; CycloneDX SBOM; Dependabot; pom.xml; SCA/SBOM/enforcer configuration detected</t>
        </is>
      </c>
      <c r="I13" s="30" t="inlineStr">
        <is>
          <t>Automatically inferred as implemented or justified from passing tests, source code, configuration, or build artifacts.</t>
        </is>
      </c>
      <c r="J13" s="30" t="inlineStr">
        <is>
          <t>Automated repository evidence</t>
        </is>
      </c>
      <c r="K13" s="30" t="inlineStr">
        <is>
          <t>Maven Enforcer; CycloneDX SBOM; Dependabot; pom.xml; SCA/SBOM/enforcer configuration detected</t>
        </is>
      </c>
      <c r="L13" s="30" t="inlineStr">
        <is>
          <t>dependency governance and SBOM; dependency update monitoring; pinned dependency rules</t>
        </is>
      </c>
      <c r="M13" s="30" t="inlineStr">
        <is>
          <t>Keep make asvs-tracker passing; reassess if code, tests, or scope changes.</t>
        </is>
      </c>
    </row>
    <row r="14" ht="18" customHeight="1" s="26">
      <c r="A14" s="33" t="inlineStr">
        <is>
          <t>V15.3</t>
        </is>
      </c>
      <c r="B14" s="33" t="inlineStr">
        <is>
          <t>Defensive Coding</t>
        </is>
      </c>
      <c r="C14" s="33" t="n"/>
      <c r="D14" s="33" t="n"/>
      <c r="E14" s="33" t="n"/>
      <c r="F14" s="33" t="n"/>
      <c r="G14" s="33" t="n"/>
      <c r="H14" s="33" t="n"/>
      <c r="I14" s="30" t="n"/>
      <c r="J14" s="30" t="n"/>
      <c r="K14" s="30" t="n"/>
      <c r="L14" s="30" t="n"/>
      <c r="M14" s="30" t="n"/>
    </row>
    <row r="15" ht="30" customHeight="1" s="26">
      <c r="A15" s="34" t="inlineStr">
        <is>
          <t>V15.3</t>
        </is>
      </c>
      <c r="B15" s="34" t="inlineStr">
        <is>
          <t>Defensive Coding</t>
        </is>
      </c>
      <c r="C15" s="34" t="inlineStr">
        <is>
          <t>V15.3.1</t>
        </is>
      </c>
      <c r="D15" s="34" t="inlineStr">
        <is>
          <t>Verify that the application only returns the required subset of fields from a data object. For example, it should not return an entire data object, as some individual fields should not be accessible to users.</t>
        </is>
      </c>
      <c r="E15" s="38" t="n">
        <v>1</v>
      </c>
      <c r="F15" s="36" t="inlineStr">
        <is>
          <t>Compliant</t>
        </is>
      </c>
      <c r="G15" s="34" t="inlineStr">
        <is>
          <t>Automatically marked compliant from passing evidence: DTO response boundaries and unknown-field rejection.</t>
        </is>
      </c>
      <c r="H15" s="34" t="inlineStr">
        <is>
          <t>SR-16; ControllerUnitTests; GlobalExceptionHandlerTest</t>
        </is>
      </c>
      <c r="I15" s="30" t="inlineStr">
        <is>
          <t>Automatically inferred as implemented or justified from passing tests, source code, configuration, or build artifacts.</t>
        </is>
      </c>
      <c r="J15" s="30" t="inlineStr">
        <is>
          <t>Automated repository evidence</t>
        </is>
      </c>
      <c r="K15" s="30" t="inlineStr">
        <is>
          <t>ControllerUnitTests; GlobalExceptionHandlerTest</t>
        </is>
      </c>
      <c r="L15" s="30" t="inlineStr">
        <is>
          <t>DTO response boundaries and unknown-field rejection</t>
        </is>
      </c>
      <c r="M15" s="30" t="inlineStr">
        <is>
          <t>Keep make asvs-tracker passing; reassess if code, tests, or scope changes.</t>
        </is>
      </c>
    </row>
    <row r="16" ht="30" customHeight="1" s="26">
      <c r="A16" s="37" t="inlineStr">
        <is>
          <t>V15.3</t>
        </is>
      </c>
      <c r="B16" s="37" t="inlineStr">
        <is>
          <t>Defensive Coding</t>
        </is>
      </c>
      <c r="C16" s="37" t="inlineStr">
        <is>
          <t>V15.3.2</t>
        </is>
      </c>
      <c r="D16" s="37" t="inlineStr">
        <is>
          <t>Verify that where the application backend makes calls to external URLs, it is configured to not follow redirects unless it is intended functionality.</t>
        </is>
      </c>
      <c r="E16" s="35" t="n">
        <v>2</v>
      </c>
      <c r="F16" s="41" t="inlineStr">
        <is>
          <t>Planned</t>
        </is>
      </c>
      <c r="G16" s="37" t="inlineStr">
        <is>
          <t>Automatically marked planned because no direct implementation, test, or scope exemption matched this ASVS row.</t>
        </is>
      </c>
      <c r="H16" s="37" t="inlineStr">
        <is>
          <t>Automated inference found no strong repository evidence</t>
        </is>
      </c>
      <c r="I16" s="30" t="inlineStr">
        <is>
          <t>Automatically inferred as required or potentially relevant, but not yet proven by strong repository evidence.</t>
        </is>
      </c>
      <c r="J16" s="30" t="inlineStr">
        <is>
          <t>Evidence needed</t>
        </is>
      </c>
      <c r="K16" s="30" t="inlineStr">
        <is>
          <t>No direct automated evidence matched this ASVS row.</t>
        </is>
      </c>
      <c r="L16" s="30" t="inlineStr">
        <is>
          <t>ASVS row V15.3.2; level 2</t>
        </is>
      </c>
      <c r="M16" s="30" t="inlineStr">
        <is>
          <t>Implement the control or add a targeted test/evidence rule, then rerun make asvs-tracker.</t>
        </is>
      </c>
    </row>
    <row r="17" ht="30" customHeight="1" s="26">
      <c r="A17" s="34" t="inlineStr">
        <is>
          <t>V15.3</t>
        </is>
      </c>
      <c r="B17" s="34" t="inlineStr">
        <is>
          <t>Defensive Coding</t>
        </is>
      </c>
      <c r="C17" s="34" t="inlineStr">
        <is>
          <t>V15.3.3</t>
        </is>
      </c>
      <c r="D17" s="34"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35" t="n">
        <v>2</v>
      </c>
      <c r="F17" s="36" t="inlineStr">
        <is>
          <t>Compliant</t>
        </is>
      </c>
      <c r="G17" s="34" t="inlineStr">
        <is>
          <t>Automatically marked compliant from passing evidence: unknown-field rejection; input shape/range validation.</t>
        </is>
      </c>
      <c r="H17" s="34" t="inlineStr">
        <is>
          <t>SR-29; SR-28; ControllerIntegrationTests; ControllerUnitTests; GlobalExceptionHandlerTest; SystemFunctionalTests; Bean Validation and request-shape controls detected</t>
        </is>
      </c>
      <c r="I17" s="30" t="inlineStr">
        <is>
          <t>Automatically inferred as implemented or justified from passing tests, source code, configuration, or build artifacts.</t>
        </is>
      </c>
      <c r="J17" s="30" t="inlineStr">
        <is>
          <t>Automated repository evidence</t>
        </is>
      </c>
      <c r="K17" s="30" t="inlineStr">
        <is>
          <t>ControllerIntegrationTests; ControllerUnitTests; GlobalExceptionHandlerTest; SystemFunctionalTests; Bean Validation and request-shape controls detected</t>
        </is>
      </c>
      <c r="L17" s="30" t="inlineStr">
        <is>
          <t>unknown-field rejection; input shape/range validation</t>
        </is>
      </c>
      <c r="M17" s="30" t="inlineStr">
        <is>
          <t>Keep make asvs-tracker passing; reassess if code, tests, or scope changes.</t>
        </is>
      </c>
    </row>
    <row r="18" ht="30" customHeight="1" s="26">
      <c r="A18" s="37" t="inlineStr">
        <is>
          <t>V15.3</t>
        </is>
      </c>
      <c r="B18" s="37" t="inlineStr">
        <is>
          <t>Defensive Coding</t>
        </is>
      </c>
      <c r="C18" s="37" t="inlineStr">
        <is>
          <t>V15.3.4</t>
        </is>
      </c>
      <c r="D18" s="37"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35" t="n">
        <v>2</v>
      </c>
      <c r="F18" s="36" t="inlineStr">
        <is>
          <t>Compliant</t>
        </is>
      </c>
      <c r="G18" s="37" t="inlineStr">
        <is>
          <t>Automatically marked compliant from passing evidence: authentication audit logging; safe error response checks; dependency governance and SBOM; dependency update monitoring; pinned dependency rules; sensitive log data checks.</t>
        </is>
      </c>
      <c r="H18" s="37" t="inlineStr">
        <is>
          <t>SR-37; SR-46; SR-32; SR-33; SR-34; SR-45; AuthServiceTest; AuditLoggerTest; GlobalExceptionHandlerTest; ControllerIntegrationTests; Maven Enforcer; CycloneDX SBOM; Dependabot; pom.xml; audit logging implementation detected; SCA/SBOM/enforcer configuration detected; centralized safe error handling detected</t>
        </is>
      </c>
      <c r="I18" s="30" t="inlineStr">
        <is>
          <t>Automatically inferred as implemented or justified from passing tests, source code, configuration, or build artifacts.</t>
        </is>
      </c>
      <c r="J18" s="30" t="inlineStr">
        <is>
          <t>Automated repository evidence</t>
        </is>
      </c>
      <c r="K18" s="30" t="inlineStr">
        <is>
          <t>AuthServiceTest; AuditLoggerTest; GlobalExceptionHandlerTest; ControllerIntegrationTests; Maven Enforcer; CycloneDX SBOM; Dependabot; pom.xml; audit logging implementation detected; SCA/SBOM/enforcer configuration detected; centralized safe error handling detected</t>
        </is>
      </c>
      <c r="L18" s="30" t="inlineStr">
        <is>
          <t>authentication audit logging; safe error response checks; dependency governance and SBOM; dependency update monitoring; pinned dependency rules; sensitive log data checks</t>
        </is>
      </c>
      <c r="M18" s="30" t="inlineStr">
        <is>
          <t>Keep make asvs-tracker passing; reassess if code, tests, or scope changes.</t>
        </is>
      </c>
    </row>
    <row r="19" ht="30" customHeight="1" s="26">
      <c r="A19" s="34" t="inlineStr">
        <is>
          <t>V15.3</t>
        </is>
      </c>
      <c r="B19" s="34" t="inlineStr">
        <is>
          <t>Defensive Coding</t>
        </is>
      </c>
      <c r="C19" s="34" t="inlineStr">
        <is>
          <t>V15.3.5</t>
        </is>
      </c>
      <c r="D19" s="34"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35" t="n">
        <v>2</v>
      </c>
      <c r="F19" s="36" t="inlineStr">
        <is>
          <t>Compliant</t>
        </is>
      </c>
      <c r="G19" s="34" t="inlineStr">
        <is>
          <t>Automatically marked compliant from passing evidence: input shape/range validation.</t>
        </is>
      </c>
      <c r="H19" s="34" t="inlineStr">
        <is>
          <t>SR-28; ControllerIntegrationTests; SystemFunctionalTests; Bean Validation and request-shape controls detected</t>
        </is>
      </c>
      <c r="I19" s="30" t="inlineStr">
        <is>
          <t>Automatically inferred as implemented or justified from passing tests, source code, configuration, or build artifacts.</t>
        </is>
      </c>
      <c r="J19" s="30" t="inlineStr">
        <is>
          <t>Automated repository evidence</t>
        </is>
      </c>
      <c r="K19" s="30" t="inlineStr">
        <is>
          <t>ControllerIntegrationTests; SystemFunctionalTests; Bean Validation and request-shape controls detected</t>
        </is>
      </c>
      <c r="L19" s="30" t="inlineStr">
        <is>
          <t>input shape/range validation</t>
        </is>
      </c>
      <c r="M19" s="30" t="inlineStr">
        <is>
          <t>Keep make asvs-tracker passing; reassess if code, tests, or scope changes.</t>
        </is>
      </c>
    </row>
    <row r="20" ht="30" customHeight="1" s="26">
      <c r="A20" s="37" t="inlineStr">
        <is>
          <t>V15.3</t>
        </is>
      </c>
      <c r="B20" s="37" t="inlineStr">
        <is>
          <t>Defensive Coding</t>
        </is>
      </c>
      <c r="C20" s="37" t="inlineStr">
        <is>
          <t>V15.3.6</t>
        </is>
      </c>
      <c r="D20" s="37" t="inlineStr">
        <is>
          <t>Verify that JavaScript code is written in a way that prevents prototype pollution, for example, by using Set() or Map() instead of object literals.</t>
        </is>
      </c>
      <c r="E20" s="35" t="n">
        <v>2</v>
      </c>
      <c r="F20" s="39" t="inlineStr">
        <is>
          <t>N/A</t>
        </is>
      </c>
      <c r="G20" s="37" t="inlineStr">
        <is>
          <t>Automatically marked out of scope: No browser-rendered frontend surface is present in this repository.</t>
        </is>
      </c>
      <c r="H20" s="37" t="inlineStr">
        <is>
          <t>Automated scope inference</t>
        </is>
      </c>
      <c r="I20" s="30" t="inlineStr">
        <is>
          <t>Out of scope for VendNet as currently implemented, or the requirement does not apply to this REST API/backend.</t>
        </is>
      </c>
      <c r="J20" s="30" t="inlineStr">
        <is>
          <t>Scope inference</t>
        </is>
      </c>
      <c r="K20" s="30" t="inlineStr">
        <is>
          <t>Not required for current backend scope.</t>
        </is>
      </c>
      <c r="L20" s="30" t="inlineStr">
        <is>
          <t>No browser-rendered frontend surface is present in this repository.</t>
        </is>
      </c>
      <c r="M20" s="30" t="inlineStr">
        <is>
          <t>Revisit if the application scope changes.</t>
        </is>
      </c>
    </row>
    <row r="21" ht="30" customHeight="1" s="26">
      <c r="A21" s="34" t="inlineStr">
        <is>
          <t>V15.3</t>
        </is>
      </c>
      <c r="B21" s="34" t="inlineStr">
        <is>
          <t>Defensive Coding</t>
        </is>
      </c>
      <c r="C21" s="34" t="inlineStr">
        <is>
          <t>V15.3.7</t>
        </is>
      </c>
      <c r="D21" s="34" t="inlineStr">
        <is>
          <t>Verify that the application has defenses against HTTP parameter pollution attacks, particularly if the application framework makes no distinction about the source of request parameters (query string, body parameters, cookies, or header fields).</t>
        </is>
      </c>
      <c r="E21" s="35" t="n">
        <v>2</v>
      </c>
      <c r="F21" s="36" t="inlineStr">
        <is>
          <t>Compliant</t>
        </is>
      </c>
      <c r="G21" s="34" t="inlineStr">
        <is>
          <t>Automatically marked compliant from passing evidence: input shape/range validation; SQL injection regression and taint checks; SQL injection abuse-case regression.</t>
        </is>
      </c>
      <c r="H21" s="34" t="inlineStr">
        <is>
          <t>SR-28; SR-09; AC-05; ControllerIntegrationTests; SystemFunctionalTests; AbuseCaseRegressionTest; IastIntegrationTest; Bean Validation and request-shape controls detected</t>
        </is>
      </c>
      <c r="I21" s="30" t="inlineStr">
        <is>
          <t>Automatically inferred as implemented or justified from passing tests, source code, configuration, or build artifacts.</t>
        </is>
      </c>
      <c r="J21" s="30" t="inlineStr">
        <is>
          <t>Automated repository evidence</t>
        </is>
      </c>
      <c r="K21" s="30" t="inlineStr">
        <is>
          <t>ControllerIntegrationTests; SystemFunctionalTests; AbuseCaseRegressionTest; IastIntegrationTest; Bean Validation and request-shape controls detected</t>
        </is>
      </c>
      <c r="L21" s="30" t="inlineStr">
        <is>
          <t>input shape/range validation; SQL injection regression and taint checks; SQL injection abuse-case regression</t>
        </is>
      </c>
      <c r="M21" s="30" t="inlineStr">
        <is>
          <t>Keep make asvs-tracker passing; reassess if code, tests, or scope changes.</t>
        </is>
      </c>
    </row>
    <row r="22" ht="18" customHeight="1" s="26">
      <c r="A22" s="33" t="inlineStr">
        <is>
          <t>V15.4</t>
        </is>
      </c>
      <c r="B22" s="33" t="inlineStr">
        <is>
          <t>Safe Concurrency</t>
        </is>
      </c>
      <c r="C22" s="33" t="n"/>
      <c r="D22" s="33" t="n"/>
      <c r="E22" s="33" t="n"/>
      <c r="F22" s="33" t="n"/>
      <c r="G22" s="33" t="n"/>
      <c r="H22" s="33" t="n"/>
      <c r="I22" s="30" t="n"/>
      <c r="J22" s="30" t="n"/>
      <c r="K22" s="30" t="n"/>
      <c r="L22" s="30" t="n"/>
      <c r="M22" s="30" t="n"/>
    </row>
    <row r="23" ht="30" customHeight="1" s="26">
      <c r="A23" s="34" t="inlineStr">
        <is>
          <t>V15.4</t>
        </is>
      </c>
      <c r="B23" s="34" t="inlineStr">
        <is>
          <t>Safe Concurrency</t>
        </is>
      </c>
      <c r="C23" s="34" t="inlineStr">
        <is>
          <t>V15.4.1</t>
        </is>
      </c>
      <c r="D23" s="34"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40" t="n">
        <v>3</v>
      </c>
      <c r="F23" s="36" t="inlineStr">
        <is>
          <t>Compliant</t>
        </is>
      </c>
      <c r="G23" s="34" t="inlineStr">
        <is>
          <t>Automatically marked compliant from passing evidence: transaction and stock consistency; failed-login lockout behaviour; path traversal and report sandboxing; unsafe path/link handling; path traversal abuse-case regression.</t>
        </is>
      </c>
      <c r="H23" s="34" t="inlineStr">
        <is>
          <t>SR-15; SR-07; SR-26; SR-27; AC-06; SaleServiceTest; SlotServiceTest; AbuseCaseRegressionTest; AuthServiceTest; AuthControllerIntegrationTest; SystemFunctionalTests; PathValidatorImplTest; ReportDirectoryServiceImplTest; path validation and report sandbox code detected</t>
        </is>
      </c>
      <c r="I23" s="30" t="inlineStr">
        <is>
          <t>Automatically inferred as implemented or justified from passing tests, source code, configuration, or build artifacts.</t>
        </is>
      </c>
      <c r="J23" s="30" t="inlineStr">
        <is>
          <t>Automated repository evidence</t>
        </is>
      </c>
      <c r="K23" s="30" t="inlineStr">
        <is>
          <t>SaleServiceTest; SlotServiceTest; AbuseCaseRegressionTest; AuthServiceTest; AuthControllerIntegrationTest; SystemFunctionalTests; PathValidatorImplTest; ReportDirectoryServiceImplTest; path validation and report sandbox code detected</t>
        </is>
      </c>
      <c r="L23" s="30" t="inlineStr">
        <is>
          <t>transaction and stock consistency; failed-login lockout behaviour; path traversal and report sandboxing; unsafe path/link handling; path traversal abuse-case regression</t>
        </is>
      </c>
      <c r="M23" s="30" t="inlineStr">
        <is>
          <t>Keep make asvs-tracker passing; reassess if code, tests, or scope changes.</t>
        </is>
      </c>
    </row>
    <row r="24" ht="30" customHeight="1" s="26">
      <c r="A24" s="37" t="inlineStr">
        <is>
          <t>V15.4</t>
        </is>
      </c>
      <c r="B24" s="37" t="inlineStr">
        <is>
          <t>Safe Concurrency</t>
        </is>
      </c>
      <c r="C24" s="37" t="inlineStr">
        <is>
          <t>V15.4.2</t>
        </is>
      </c>
      <c r="D24" s="37"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40" t="n">
        <v>3</v>
      </c>
      <c r="F24" s="36" t="inlineStr">
        <is>
          <t>Compliant</t>
        </is>
      </c>
      <c r="G24" s="37" t="inlineStr">
        <is>
          <t>Automatically marked compliant from passing evidence: transaction and stock consistency; RBAC roles and endpoint isolation; controller/service authorization guardrails; user data access isolation; path traversal and report sandboxing; unsafe path/link handling; path traversal abuse-case regression.</t>
        </is>
      </c>
      <c r="H24" s="37" t="inlineStr">
        <is>
          <t>SR-15; SR-02; SR-06; SR-08; SR-26; SR-27; AC-06; SaleServiceTest; SlotServiceTest; AbuseCaseRegressionTest; RbacIntegrationTest; SecurityAnnotationArchTest; SystemFunctionalTests; PathValidatorImplTest; ReportDirectoryServiceImplTest; Spring method security and RBAC annotations detected; path validation and report sandbox code detected</t>
        </is>
      </c>
      <c r="I24" s="30" t="inlineStr">
        <is>
          <t>Automatically inferred as implemented or justified from passing tests, source code, configuration, or build artifacts.</t>
        </is>
      </c>
      <c r="J24" s="30" t="inlineStr">
        <is>
          <t>Automated repository evidence</t>
        </is>
      </c>
      <c r="K24" s="30" t="inlineStr">
        <is>
          <t>SaleServiceTest; SlotServiceTest; AbuseCaseRegressionTest; RbacIntegrationTest; SecurityAnnotationArchTest; SystemFunctionalTests; PathValidatorImplTest; ReportDirectoryServiceImplTest; Spring method security and RBAC annotations detected; path validation and report sandbox code detected</t>
        </is>
      </c>
      <c r="L24" s="30" t="inlineStr">
        <is>
          <t>transaction and stock consistency; RBAC roles and endpoint isolation; controller/service authorization guardrails; user data access isolation; path traversal and report sandboxing; unsafe path/link handling; path traversal abuse-case regression</t>
        </is>
      </c>
      <c r="M24" s="30" t="inlineStr">
        <is>
          <t>Keep make asvs-tracker passing; reassess if code, tests, or scope changes.</t>
        </is>
      </c>
    </row>
    <row r="25" ht="30" customHeight="1" s="26">
      <c r="A25" s="34" t="inlineStr">
        <is>
          <t>V15.4</t>
        </is>
      </c>
      <c r="B25" s="34" t="inlineStr">
        <is>
          <t>Safe Concurrency</t>
        </is>
      </c>
      <c r="C25" s="34" t="inlineStr">
        <is>
          <t>V15.4.3</t>
        </is>
      </c>
      <c r="D25" s="34"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40" t="n">
        <v>3</v>
      </c>
      <c r="F25" s="36" t="inlineStr">
        <is>
          <t>Compliant</t>
        </is>
      </c>
      <c r="G25" s="34" t="inlineStr">
        <is>
          <t>Automatically marked compliant from passing evidence: transaction and stock consistency; authentication audit logging; sensitive log data checks; safe error response checks.</t>
        </is>
      </c>
      <c r="H25" s="34" t="inlineStr">
        <is>
          <t>SR-15; SR-37; SR-45; SR-46; SaleServiceTest; SlotServiceTest; AbuseCaseRegressionTest; AuthServiceTest; AuditLoggerTest; GlobalExceptionHandlerTest; ControllerIntegrationTests; audit logging implementation detected; centralized safe error handling detected</t>
        </is>
      </c>
      <c r="I25" s="30" t="inlineStr">
        <is>
          <t>Automatically inferred as implemented or justified from passing tests, source code, configuration, or build artifacts.</t>
        </is>
      </c>
      <c r="J25" s="30" t="inlineStr">
        <is>
          <t>Automated repository evidence</t>
        </is>
      </c>
      <c r="K25" s="30" t="inlineStr">
        <is>
          <t>SaleServiceTest; SlotServiceTest; AbuseCaseRegressionTest; AuthServiceTest; AuditLoggerTest; GlobalExceptionHandlerTest; ControllerIntegrationTests; audit logging implementation detected; centralized safe error handling detected</t>
        </is>
      </c>
      <c r="L25" s="30" t="inlineStr">
        <is>
          <t>transaction and stock consistency; authentication audit logging; sensitive log data checks; safe error response checks</t>
        </is>
      </c>
      <c r="M25" s="30" t="inlineStr">
        <is>
          <t>Keep make asvs-tracker passing; reassess if code, tests, or scope changes.</t>
        </is>
      </c>
    </row>
    <row r="26" ht="30" customHeight="1" s="26">
      <c r="A26" s="37" t="inlineStr">
        <is>
          <t>V15.4</t>
        </is>
      </c>
      <c r="B26" s="37" t="inlineStr">
        <is>
          <t>Safe Concurrency</t>
        </is>
      </c>
      <c r="C26" s="37" t="inlineStr">
        <is>
          <t>V15.4.4</t>
        </is>
      </c>
      <c r="D26" s="37" t="inlineStr">
        <is>
          <t>Verify that resource allocation policies prevent thread starvation by ensuring fair access to resources, such as by leveraging thread pools, allowing lower-priority threads to proceed within a reasonable timeframe.</t>
        </is>
      </c>
      <c r="E26" s="40" t="n">
        <v>3</v>
      </c>
      <c r="F26" s="36" t="inlineStr">
        <is>
          <t>Compliant</t>
        </is>
      </c>
      <c r="G26" s="37" t="inlineStr">
        <is>
          <t>Automatically marked compliant from passing evidence: pagination/large-response controls.</t>
        </is>
      </c>
      <c r="H26" s="37" t="inlineStr">
        <is>
          <t>SR-36; SR-31; ControllerIntegrationTests; SystemFunctionalTests</t>
        </is>
      </c>
      <c r="I26" s="30" t="inlineStr">
        <is>
          <t>Automatically inferred as implemented or justified from passing tests, source code, configuration, or build artifacts.</t>
        </is>
      </c>
      <c r="J26" s="30" t="inlineStr">
        <is>
          <t>Automated repository evidence</t>
        </is>
      </c>
      <c r="K26" s="30" t="inlineStr">
        <is>
          <t>ControllerIntegrationTests; SystemFunctionalTests</t>
        </is>
      </c>
      <c r="L26" s="30" t="inlineStr">
        <is>
          <t>pagination/large-response controls</t>
        </is>
      </c>
      <c r="M26" s="30" t="inlineStr">
        <is>
          <t>Keep make asvs-tracker passing; reassess if code, tests, or scope changes.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8.xml><?xml version="1.0" encoding="utf-8"?>
<worksheet xmlns="http://schemas.openxmlformats.org/spreadsheetml/2006/main">
  <sheetPr>
    <outlinePr summaryBelow="1" summaryRight="1"/>
    <pageSetUpPr/>
  </sheetPr>
  <dimension ref="A1:M23"/>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V16.1</t>
        </is>
      </c>
      <c r="B2" s="33" t="inlineStr">
        <is>
          <t>Security Logging Documentation</t>
        </is>
      </c>
      <c r="C2" s="33" t="n"/>
      <c r="D2" s="33" t="n"/>
      <c r="E2" s="33" t="n"/>
      <c r="F2" s="33" t="n"/>
      <c r="G2" s="33" t="n"/>
      <c r="H2" s="33" t="n"/>
      <c r="I2" s="30" t="n"/>
      <c r="J2" s="30" t="n"/>
      <c r="K2" s="30" t="n"/>
      <c r="L2" s="30" t="n"/>
      <c r="M2" s="30" t="n"/>
    </row>
    <row r="3" ht="30" customHeight="1" s="26">
      <c r="A3" s="34" t="inlineStr">
        <is>
          <t>V16.1</t>
        </is>
      </c>
      <c r="B3" s="34" t="inlineStr">
        <is>
          <t>Security Logging Documentation</t>
        </is>
      </c>
      <c r="C3" s="34" t="inlineStr">
        <is>
          <t>V16.1.1</t>
        </is>
      </c>
      <c r="D3" s="34"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35" t="n">
        <v>2</v>
      </c>
      <c r="F3" s="36" t="inlineStr">
        <is>
          <t>Compliant</t>
        </is>
      </c>
      <c r="G3" s="34" t="inlineStr">
        <is>
          <t>Automatically marked compliant from passing evidence: authentication audit logging; sensitive log data checks; safe error response checks.</t>
        </is>
      </c>
      <c r="H3" s="34" t="inlineStr">
        <is>
          <t>SR-37; SR-43; SR-45; SR-46; AuthServiceTest; AuditLoggerTest; GlobalExceptionHandlerTest; ControllerIntegrationTests; audit logging implementation detected; centralized safe error handling detected</t>
        </is>
      </c>
      <c r="I3" s="30" t="inlineStr">
        <is>
          <t>Automatically inferred as implemented or justified from passing tests, source code, configuration, or build artifacts.</t>
        </is>
      </c>
      <c r="J3" s="30" t="inlineStr">
        <is>
          <t>Automated repository evidence</t>
        </is>
      </c>
      <c r="K3" s="30" t="inlineStr">
        <is>
          <t>AuthServiceTest; AuditLoggerTest; GlobalExceptionHandlerTest; ControllerIntegrationTests; audit logging implementation detected; centralized safe error handling detected</t>
        </is>
      </c>
      <c r="L3" s="30" t="inlineStr">
        <is>
          <t>authentication audit logging; sensitive log data checks; safe error response checks</t>
        </is>
      </c>
      <c r="M3" s="30" t="inlineStr">
        <is>
          <t>Keep make asvs-tracker passing; reassess if code, tests, or scope changes.</t>
        </is>
      </c>
    </row>
    <row r="4" ht="18" customHeight="1" s="26">
      <c r="A4" s="33" t="inlineStr">
        <is>
          <t>V16.2</t>
        </is>
      </c>
      <c r="B4" s="33" t="inlineStr">
        <is>
          <t>General Logging</t>
        </is>
      </c>
      <c r="C4" s="33" t="n"/>
      <c r="D4" s="33" t="n"/>
      <c r="E4" s="33" t="n"/>
      <c r="F4" s="33" t="n"/>
      <c r="G4" s="33" t="n"/>
      <c r="H4" s="33" t="n"/>
      <c r="I4" s="30" t="n"/>
      <c r="J4" s="30" t="n"/>
      <c r="K4" s="30" t="n"/>
      <c r="L4" s="30" t="n"/>
      <c r="M4" s="30" t="n"/>
    </row>
    <row r="5" ht="30" customHeight="1" s="26">
      <c r="A5" s="34" t="inlineStr">
        <is>
          <t>V16.2</t>
        </is>
      </c>
      <c r="B5" s="34" t="inlineStr">
        <is>
          <t>General Logging</t>
        </is>
      </c>
      <c r="C5" s="34" t="inlineStr">
        <is>
          <t>V16.2.1</t>
        </is>
      </c>
      <c r="D5" s="34" t="inlineStr">
        <is>
          <t>Verify that each log entry includes necessary metadata (such as when, where, who, what) that would allow for a detailed investigation of the timeline when an event happens.</t>
        </is>
      </c>
      <c r="E5" s="35" t="n">
        <v>2</v>
      </c>
      <c r="F5" s="36" t="inlineStr">
        <is>
          <t>Compliant</t>
        </is>
      </c>
      <c r="G5" s="34" t="inlineStr">
        <is>
          <t>Automatically marked compliant from passing evidence: authentication audit logging; inventory audit logging; sensitive log data checks; safe error response checks.</t>
        </is>
      </c>
      <c r="H5" s="34" t="inlineStr">
        <is>
          <t>SR-37; SR-38; SR-45; SR-46; AuthServiceTest; AuditLoggerTest; SystemFunctionalTests; GlobalExceptionHandlerTest; ControllerIntegrationTests; audit logging implementation detected; centralized safe error handling detected</t>
        </is>
      </c>
      <c r="I5" s="30" t="inlineStr">
        <is>
          <t>Automatically inferred as implemented or justified from passing tests, source code, configuration, or build artifacts.</t>
        </is>
      </c>
      <c r="J5" s="30" t="inlineStr">
        <is>
          <t>Automated repository evidence</t>
        </is>
      </c>
      <c r="K5" s="30" t="inlineStr">
        <is>
          <t>AuthServiceTest; AuditLoggerTest; SystemFunctionalTests; GlobalExceptionHandlerTest; ControllerIntegrationTests; audit logging implementation detected; centralized safe error handling detected</t>
        </is>
      </c>
      <c r="L5" s="30" t="inlineStr">
        <is>
          <t>authentication audit logging; inventory audit logging; sensitive log data checks; safe error response checks</t>
        </is>
      </c>
      <c r="M5" s="30" t="inlineStr">
        <is>
          <t>Keep make asvs-tracker passing; reassess if code, tests, or scope changes.</t>
        </is>
      </c>
    </row>
    <row r="6" ht="30" customHeight="1" s="26">
      <c r="A6" s="37" t="inlineStr">
        <is>
          <t>V16.2</t>
        </is>
      </c>
      <c r="B6" s="37" t="inlineStr">
        <is>
          <t>General Logging</t>
        </is>
      </c>
      <c r="C6" s="37" t="inlineStr">
        <is>
          <t>V16.2.2</t>
        </is>
      </c>
      <c r="D6" s="37"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35" t="n">
        <v>2</v>
      </c>
      <c r="F6" s="36" t="inlineStr">
        <is>
          <t>Compliant</t>
        </is>
      </c>
      <c r="G6" s="37" t="inlineStr">
        <is>
          <t>Automatically marked compliant from passing evidence: authentication audit logging; dependency governance and SBOM; dependency update monitoring; pinned dependency rules; sensitive log data checks; safe error response checks.</t>
        </is>
      </c>
      <c r="H6" s="37" t="inlineStr">
        <is>
          <t>SR-37; SR-32; SR-33; SR-34; SR-45; SR-46; AuthServiceTest; AuditLoggerTest; Maven Enforcer; CycloneDX SBOM; Dependabot; pom.xml; GlobalExceptionHandlerTest; ControllerIntegrationTests; audit logging implementation detected; SCA/SBOM/enforcer configuration detected; centralized safe error handling detected</t>
        </is>
      </c>
      <c r="I6" s="30" t="inlineStr">
        <is>
          <t>Automatically inferred as implemented or justified from passing tests, source code, configuration, or build artifacts.</t>
        </is>
      </c>
      <c r="J6" s="30" t="inlineStr">
        <is>
          <t>Automated repository evidence</t>
        </is>
      </c>
      <c r="K6" s="30" t="inlineStr">
        <is>
          <t>AuthServiceTest; AuditLoggerTest; Maven Enforcer; CycloneDX SBOM; Dependabot; pom.xml; GlobalExceptionHandlerTest; ControllerIntegrationTests; audit logging implementation detected; SCA/SBOM/enforcer configuration detected; centralized safe error handling detected</t>
        </is>
      </c>
      <c r="L6" s="30" t="inlineStr">
        <is>
          <t>authentication audit logging; dependency governance and SBOM; dependency update monitoring; pinned dependency rules; sensitive log data checks; safe error response checks</t>
        </is>
      </c>
      <c r="M6" s="30" t="inlineStr">
        <is>
          <t>Keep make asvs-tracker passing; reassess if code, tests, or scope changes.</t>
        </is>
      </c>
    </row>
    <row r="7" ht="30" customHeight="1" s="26">
      <c r="A7" s="34" t="inlineStr">
        <is>
          <t>V16.2</t>
        </is>
      </c>
      <c r="B7" s="34" t="inlineStr">
        <is>
          <t>General Logging</t>
        </is>
      </c>
      <c r="C7" s="34" t="inlineStr">
        <is>
          <t>V16.2.3</t>
        </is>
      </c>
      <c r="D7" s="34" t="inlineStr">
        <is>
          <t>Verify that the application only stores or broadcasts logs to the files and services that are documented in the log inventory.</t>
        </is>
      </c>
      <c r="E7" s="35" t="n">
        <v>2</v>
      </c>
      <c r="F7" s="36" t="inlineStr">
        <is>
          <t>Compliant</t>
        </is>
      </c>
      <c r="G7" s="34" t="inlineStr">
        <is>
          <t>Automatically marked compliant from passing evidence: authentication audit logging; path traversal and report sandboxing; unsafe path/link handling; path traversal abuse-case regression; sensitive log data checks; safe error response checks.</t>
        </is>
      </c>
      <c r="H7" s="34" t="inlineStr">
        <is>
          <t>SR-37; SR-26; SR-27; AC-06; SR-45; SR-46; AuthServiceTest; AuditLoggerTest; PathValidatorImplTest; ReportDirectoryServiceImplTest; AbuseCaseRegressionTest; GlobalExceptionHandlerTest; ControllerIntegrationTests; path validation and report sandbox code detected; audit logging implementation detected; centralized safe error handling detected</t>
        </is>
      </c>
      <c r="I7" s="30" t="inlineStr">
        <is>
          <t>Automatically inferred as implemented or justified from passing tests, source code, configuration, or build artifacts.</t>
        </is>
      </c>
      <c r="J7" s="30" t="inlineStr">
        <is>
          <t>Automated repository evidence</t>
        </is>
      </c>
      <c r="K7" s="30" t="inlineStr">
        <is>
          <t>AuthServiceTest; AuditLoggerTest; PathValidatorImplTest; ReportDirectoryServiceImplTest; AbuseCaseRegressionTest; GlobalExceptionHandlerTest; ControllerIntegrationTests; path validation and report sandbox code detected; audit logging implementation detected; centralized safe error handling detected</t>
        </is>
      </c>
      <c r="L7" s="30" t="inlineStr">
        <is>
          <t>authentication audit logging; path traversal and report sandboxing; unsafe path/link handling; path traversal abuse-case regression; sensitive log data checks; safe error response checks</t>
        </is>
      </c>
      <c r="M7" s="30" t="inlineStr">
        <is>
          <t>Keep make asvs-tracker passing; reassess if code, tests, or scope changes.</t>
        </is>
      </c>
    </row>
    <row r="8" ht="30" customHeight="1" s="26">
      <c r="A8" s="37" t="inlineStr">
        <is>
          <t>V16.2</t>
        </is>
      </c>
      <c r="B8" s="37" t="inlineStr">
        <is>
          <t>General Logging</t>
        </is>
      </c>
      <c r="C8" s="37" t="inlineStr">
        <is>
          <t>V16.2.4</t>
        </is>
      </c>
      <c r="D8" s="37" t="inlineStr">
        <is>
          <t>Verify that logs can be read and correlated by the log processor that is in use, preferably by using a common logging format.</t>
        </is>
      </c>
      <c r="E8" s="35" t="n">
        <v>2</v>
      </c>
      <c r="F8" s="36" t="inlineStr">
        <is>
          <t>Compliant</t>
        </is>
      </c>
      <c r="G8" s="37" t="inlineStr">
        <is>
          <t>Automatically marked compliant from passing evidence: authentication audit logging; sensitive log data checks; safe error response checks.</t>
        </is>
      </c>
      <c r="H8" s="37" t="inlineStr">
        <is>
          <t>SR-37; SR-45; SR-46; AuthServiceTest; AuditLoggerTest; GlobalExceptionHandlerTest; ControllerIntegrationTests; audit logging implementation detected; centralized safe error handling detected</t>
        </is>
      </c>
      <c r="I8" s="30" t="inlineStr">
        <is>
          <t>Automatically inferred as implemented or justified from passing tests, source code, configuration, or build artifacts.</t>
        </is>
      </c>
      <c r="J8" s="30" t="inlineStr">
        <is>
          <t>Automated repository evidence</t>
        </is>
      </c>
      <c r="K8" s="30" t="inlineStr">
        <is>
          <t>AuthServiceTest; AuditLoggerTest; GlobalExceptionHandlerTest; ControllerIntegrationTests; audit logging implementation detected; centralized safe error handling detected</t>
        </is>
      </c>
      <c r="L8" s="30" t="inlineStr">
        <is>
          <t>authentication audit logging; sensitive log data checks; safe error response checks</t>
        </is>
      </c>
      <c r="M8" s="30" t="inlineStr">
        <is>
          <t>Keep make asvs-tracker passing; reassess if code, tests, or scope changes.</t>
        </is>
      </c>
    </row>
    <row r="9" ht="30" customHeight="1" s="26">
      <c r="A9" s="34" t="inlineStr">
        <is>
          <t>V16.2</t>
        </is>
      </c>
      <c r="B9" s="34" t="inlineStr">
        <is>
          <t>General Logging</t>
        </is>
      </c>
      <c r="C9" s="34" t="inlineStr">
        <is>
          <t>V16.2.5</t>
        </is>
      </c>
      <c r="D9" s="34"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35" t="n">
        <v>2</v>
      </c>
      <c r="F9" s="36" t="inlineStr">
        <is>
          <t>Compliant</t>
        </is>
      </c>
      <c r="G9" s="34" t="inlineStr">
        <is>
          <t>Automatically marked compliant from passing evidence: sensitive log data checks; JWT signature and algorithm validation; JWT key strength and server-side signing; administrator MFA; account status validation; failed-login lockout behaviour; payment webhook HMAC validation; forged webhook abuse-case regression; authentication audit logging; safe error response checks.</t>
        </is>
      </c>
      <c r="H9" s="34" t="inlineStr">
        <is>
          <t>SR-45; SR-03; SR-04; SR-01; SR-05; SR-07; SR-19; AC-02; SR-37; SR-46; AuditLoggerTest; GlobalExceptionHandlerTest; AbuseCaseRegressionTest; JwtServiceTest; JwtAuthenticationFilterTest; AuthServiceTest; AuthControllerIntegrationTest; SystemFunctionalTests; PaymentGatewayServiceImplTest; ControllerIntegrationTests; JWT service and signing/filter code detected; MFA/TOTP code and tests detected; HMAC webhook validation code detected; audit logging implementation detected; centralized safe error handling detected</t>
        </is>
      </c>
      <c r="I9" s="30" t="inlineStr">
        <is>
          <t>Automatically inferred as implemented or justified from passing tests, source code, configuration, or build artifacts.</t>
        </is>
      </c>
      <c r="J9" s="30" t="inlineStr">
        <is>
          <t>Automated repository evidence</t>
        </is>
      </c>
      <c r="K9" s="30" t="inlineStr">
        <is>
          <t>AuditLoggerTest; GlobalExceptionHandlerTest; AbuseCaseRegressionTest; JwtServiceTest; JwtAuthenticationFilterTest; AuthServiceTest; AuthControllerIntegrationTest; SystemFunctionalTests; PaymentGatewayServiceImplTest; ControllerIntegrationTests; JWT service and signing/filter code detected; MFA/TOTP code and tests detected; HMAC webhook validation code detected; audit logging implementation detected; centralized safe error handling detected</t>
        </is>
      </c>
      <c r="L9" s="30" t="inlineStr">
        <is>
          <t>sensitive log data checks; JWT signature and algorithm validation; JWT key strength and server-side signing; administrator MFA; account status validation; failed-login lockout behaviour; payment webhook HMAC validation; forged webhook abuse-case regression; authentication audit logging; safe error response checks</t>
        </is>
      </c>
      <c r="M9" s="30" t="inlineStr">
        <is>
          <t>Keep make asvs-tracker passing; reassess if code, tests, or scope changes.</t>
        </is>
      </c>
    </row>
    <row r="10" ht="18" customHeight="1" s="26">
      <c r="A10" s="33" t="inlineStr">
        <is>
          <t>V16.3</t>
        </is>
      </c>
      <c r="B10" s="33" t="inlineStr">
        <is>
          <t>Security Events</t>
        </is>
      </c>
      <c r="C10" s="33" t="n"/>
      <c r="D10" s="33" t="n"/>
      <c r="E10" s="33" t="n"/>
      <c r="F10" s="33" t="n"/>
      <c r="G10" s="33" t="n"/>
      <c r="H10" s="33" t="n"/>
      <c r="I10" s="30" t="n"/>
      <c r="J10" s="30" t="n"/>
      <c r="K10" s="30" t="n"/>
      <c r="L10" s="30" t="n"/>
      <c r="M10" s="30" t="n"/>
    </row>
    <row r="11" ht="30" customHeight="1" s="26">
      <c r="A11" s="34" t="inlineStr">
        <is>
          <t>V16.3</t>
        </is>
      </c>
      <c r="B11" s="34" t="inlineStr">
        <is>
          <t>Security Events</t>
        </is>
      </c>
      <c r="C11" s="34" t="inlineStr">
        <is>
          <t>V16.3.1</t>
        </is>
      </c>
      <c r="D11" s="34" t="inlineStr">
        <is>
          <t>Verify that all authentication operations are logged, including successful and unsuccessful attempts. Additional metadata, such as the type of authentication or factors used, should also be collected.</t>
        </is>
      </c>
      <c r="E11" s="35" t="n">
        <v>2</v>
      </c>
      <c r="F11" s="36" t="inlineStr">
        <is>
          <t>Compliant</t>
        </is>
      </c>
      <c r="G11" s="34" t="inlineStr">
        <is>
          <t>Automatically marked compliant from passing evidence: authentication audit logging; administrator MFA; account status validation; failed-login lockout behaviour; sensitive log data checks; safe error response checks.</t>
        </is>
      </c>
      <c r="H11" s="34" t="inlineStr">
        <is>
          <t>SR-37; SR-01; SR-05; SR-07; SR-45; SR-46; AuthServiceTest; AuditLoggerTest; AuthControllerIntegrationTest; SystemFunctionalTests; GlobalExceptionHandlerTest; ControllerIntegrationTests; MFA/TOTP code and tests detected; audit logging implementation detected; centralized safe error handling detected</t>
        </is>
      </c>
      <c r="I11" s="30" t="inlineStr">
        <is>
          <t>Automatically inferred as implemented or justified from passing tests, source code, configuration, or build artifacts.</t>
        </is>
      </c>
      <c r="J11" s="30" t="inlineStr">
        <is>
          <t>Automated repository evidence</t>
        </is>
      </c>
      <c r="K11" s="30" t="inlineStr">
        <is>
          <t>AuthServiceTest; AuditLoggerTest; AuthControllerIntegrationTest; SystemFunctionalTests; GlobalExceptionHandlerTest; ControllerIntegrationTests; MFA/TOTP code and tests detected; audit logging implementation detected; centralized safe error handling detected</t>
        </is>
      </c>
      <c r="L11" s="30" t="inlineStr">
        <is>
          <t>authentication audit logging; administrator MFA; account status validation; failed-login lockout behaviour; sensitive log data checks; safe error response checks</t>
        </is>
      </c>
      <c r="M11" s="30" t="inlineStr">
        <is>
          <t>Keep make asvs-tracker passing; reassess if code, tests, or scope changes.</t>
        </is>
      </c>
    </row>
    <row r="12" ht="30" customHeight="1" s="26">
      <c r="A12" s="37" t="inlineStr">
        <is>
          <t>V16.3</t>
        </is>
      </c>
      <c r="B12" s="37" t="inlineStr">
        <is>
          <t>Security Events</t>
        </is>
      </c>
      <c r="C12" s="37" t="inlineStr">
        <is>
          <t>V16.3.2</t>
        </is>
      </c>
      <c r="D12" s="37" t="inlineStr">
        <is>
          <t>Verify that failed authorization attempts are logged. For L3, this must include logging all authorization decisions, including logging when sensitive data is accessed (without logging the sensitive data itself).</t>
        </is>
      </c>
      <c r="E12" s="35" t="n">
        <v>2</v>
      </c>
      <c r="F12" s="36" t="inlineStr">
        <is>
          <t>Compliant</t>
        </is>
      </c>
      <c r="G12" s="37" t="inlineStr">
        <is>
          <t>Automatically marked compliant from passing evidence: inventory audit logging; RBAC roles and endpoint isolation; controller/service authorization guardrails; user data access isolation; authentication audit logging; sensitive log data checks; safe error response checks.</t>
        </is>
      </c>
      <c r="H12" s="37" t="inlineStr">
        <is>
          <t>SR-38; SR-02; SR-06; SR-08; SR-37; SR-45; SR-46; AuditLoggerTest; SystemFunctionalTests; RbacIntegrationTest; SecurityAnnotationArchTest; AuthServiceTest; GlobalExceptionHandlerTest; ControllerIntegrationTests; Spring method security and RBAC annotations detected; audit logging implementation detected; centralized safe error handling detected</t>
        </is>
      </c>
      <c r="I12" s="30" t="inlineStr">
        <is>
          <t>Automatically inferred as implemented or justified from passing tests, source code, configuration, or build artifacts.</t>
        </is>
      </c>
      <c r="J12" s="30" t="inlineStr">
        <is>
          <t>Automated repository evidence</t>
        </is>
      </c>
      <c r="K12" s="30" t="inlineStr">
        <is>
          <t>AuditLoggerTest; SystemFunctionalTests; RbacIntegrationTest; SecurityAnnotationArchTest; AuthServiceTest; GlobalExceptionHandlerTest; ControllerIntegrationTests; Spring method security and RBAC annotations detected; audit logging implementation detected; centralized safe error handling detected</t>
        </is>
      </c>
      <c r="L12" s="30" t="inlineStr">
        <is>
          <t>inventory audit logging; RBAC roles and endpoint isolation; controller/service authorization guardrails; user data access isolation; authentication audit logging; sensitive log data checks; safe error response checks</t>
        </is>
      </c>
      <c r="M12" s="30" t="inlineStr">
        <is>
          <t>Keep make asvs-tracker passing; reassess if code, tests, or scope changes.</t>
        </is>
      </c>
    </row>
    <row r="13" ht="30" customHeight="1" s="26">
      <c r="A13" s="34" t="inlineStr">
        <is>
          <t>V16.3</t>
        </is>
      </c>
      <c r="B13" s="34" t="inlineStr">
        <is>
          <t>Security Events</t>
        </is>
      </c>
      <c r="C13" s="34" t="inlineStr">
        <is>
          <t>V16.3.3</t>
        </is>
      </c>
      <c r="D13" s="34" t="inlineStr">
        <is>
          <t>Verify that the application logs the security events that are defined in the documentation and also logs attempts to bypass the security controls, such as input validation, business logic, and anti-automation.</t>
        </is>
      </c>
      <c r="E13" s="35" t="n">
        <v>2</v>
      </c>
      <c r="F13" s="36" t="inlineStr">
        <is>
          <t>Compliant</t>
        </is>
      </c>
      <c r="G13" s="34" t="inlineStr">
        <is>
          <t>Automatically marked compliant from passing evidence: authentication audit logging; input shape/range validation; unknown-field rejection; payload/request limit coverage; transaction and stock consistency; server-side price enforcement; stock limit validation; client-supplied price abuse-case regression; TOCTOU/stock race abuse-case regression; sensitive log data checks; safe error response checks.</t>
        </is>
      </c>
      <c r="H13" s="34" t="inlineStr">
        <is>
          <t>SR-37; SR-28; SR-29; SR-30; SR-15; SR-24; SR-25; AC-03; AC-07; SR-45; SR-46; AuthServiceTest; AuditLoggerTest; ControllerIntegrationTests; SystemFunctionalTests; ControllerUnitTests; GlobalExceptionHandlerTest; application.properties; SaleServiceTest; SlotServiceTest; AbuseCaseRegressionTest; Bean Validation and request-shape controls detected; audit logging implementation detected; centralized safe error handling detected</t>
        </is>
      </c>
      <c r="I13" s="30" t="inlineStr">
        <is>
          <t>Automatically inferred as implemented or justified from passing tests, source code, configuration, or build artifacts.</t>
        </is>
      </c>
      <c r="J13" s="30" t="inlineStr">
        <is>
          <t>Automated repository evidence</t>
        </is>
      </c>
      <c r="K13" s="30" t="inlineStr">
        <is>
          <t>AuthServiceTest; AuditLoggerTest; ControllerIntegrationTests; SystemFunctionalTests; ControllerUnitTests; GlobalExceptionHandlerTest; application.properties; SaleServiceTest; SlotServiceTest; AbuseCaseRegressionTest; Bean Validation and request-shape controls detected; audit logging implementation detected; centralized safe error handling detected</t>
        </is>
      </c>
      <c r="L13" s="30" t="inlineStr">
        <is>
          <t>authentication audit logging; input shape/range validation; unknown-field rejection; payload/request limit coverage; transaction and stock consistency; server-side price enforcement; stock limit validation; client-supplied price abuse-case regression; TOCTOU/stock race abuse-case regression; sensitive log data checks; safe error response checks</t>
        </is>
      </c>
      <c r="M13" s="30" t="inlineStr">
        <is>
          <t>Keep make asvs-tracker passing; reassess if code, tests, or scope changes.</t>
        </is>
      </c>
    </row>
    <row r="14" ht="30" customHeight="1" s="26">
      <c r="A14" s="37" t="inlineStr">
        <is>
          <t>V16.3</t>
        </is>
      </c>
      <c r="B14" s="37" t="inlineStr">
        <is>
          <t>Security Events</t>
        </is>
      </c>
      <c r="C14" s="37" t="inlineStr">
        <is>
          <t>V16.3.4</t>
        </is>
      </c>
      <c r="D14" s="37" t="inlineStr">
        <is>
          <t>Verify that the application logs unexpected errors and security control failures such as backend TLS failures.</t>
        </is>
      </c>
      <c r="E14" s="35" t="n">
        <v>2</v>
      </c>
      <c r="F14" s="36" t="inlineStr">
        <is>
          <t>Compliant</t>
        </is>
      </c>
      <c r="G14" s="37" t="inlineStr">
        <is>
          <t>Automatically marked compliant from passing evidence: authentication audit logging; sensitive log data checks; safe error response checks; TLS configuration; machine mTLS authentication paths.</t>
        </is>
      </c>
      <c r="H14" s="37" t="inlineStr">
        <is>
          <t>SR-37; SR-45; SR-46; SR-17; SR-18; AuthServiceTest; AuditLoggerTest; GlobalExceptionHandlerTest; ControllerIntegrationTests; application-prod.properties; X509MachineAuthenticationFilterTest; TelemetryServiceTest; X.509/mTLS machine authentication code detected; audit logging implementation detected; centralized safe error handling detected</t>
        </is>
      </c>
      <c r="I14" s="30" t="inlineStr">
        <is>
          <t>Automatically inferred as implemented or justified from passing tests, source code, configuration, or build artifacts.</t>
        </is>
      </c>
      <c r="J14" s="30" t="inlineStr">
        <is>
          <t>Automated repository evidence</t>
        </is>
      </c>
      <c r="K14" s="30" t="inlineStr">
        <is>
          <t>AuthServiceTest; AuditLoggerTest; GlobalExceptionHandlerTest; ControllerIntegrationTests; application-prod.properties; X509MachineAuthenticationFilterTest; TelemetryServiceTest; X.509/mTLS machine authentication code detected; audit logging implementation detected; centralized safe error handling detected</t>
        </is>
      </c>
      <c r="L14" s="30" t="inlineStr">
        <is>
          <t>authentication audit logging; sensitive log data checks; safe error response checks; TLS configuration; machine mTLS authentication paths</t>
        </is>
      </c>
      <c r="M14" s="30" t="inlineStr">
        <is>
          <t>Keep make asvs-tracker passing; reassess if code, tests, or scope changes.</t>
        </is>
      </c>
    </row>
    <row r="15" ht="18" customHeight="1" s="26">
      <c r="A15" s="33" t="inlineStr">
        <is>
          <t>V16.4</t>
        </is>
      </c>
      <c r="B15" s="33" t="inlineStr">
        <is>
          <t>Log Protection</t>
        </is>
      </c>
      <c r="C15" s="33" t="n"/>
      <c r="D15" s="33" t="n"/>
      <c r="E15" s="33" t="n"/>
      <c r="F15" s="33" t="n"/>
      <c r="G15" s="33" t="n"/>
      <c r="H15" s="33" t="n"/>
      <c r="I15" s="30" t="n"/>
      <c r="J15" s="30" t="n"/>
      <c r="K15" s="30" t="n"/>
      <c r="L15" s="30" t="n"/>
      <c r="M15" s="30" t="n"/>
    </row>
    <row r="16" ht="30" customHeight="1" s="26">
      <c r="A16" s="34" t="inlineStr">
        <is>
          <t>V16.4</t>
        </is>
      </c>
      <c r="B16" s="34" t="inlineStr">
        <is>
          <t>Log Protection</t>
        </is>
      </c>
      <c r="C16" s="34" t="inlineStr">
        <is>
          <t>V16.4.1</t>
        </is>
      </c>
      <c r="D16" s="34" t="inlineStr">
        <is>
          <t>Verify that all logging components appropriately encode data to prevent log injection.</t>
        </is>
      </c>
      <c r="E16" s="35" t="n">
        <v>2</v>
      </c>
      <c r="F16" s="36" t="inlineStr">
        <is>
          <t>Compliant</t>
        </is>
      </c>
      <c r="G16" s="34" t="inlineStr">
        <is>
          <t>Automatically marked compliant from passing evidence: SQL injection regression and taint checks; SQL injection abuse-case regression; dependency governance and SBOM; dependency update monitoring; pinned dependency rules; authentication audit logging; sensitive log data checks; safe error response checks.</t>
        </is>
      </c>
      <c r="H16" s="34" t="inlineStr">
        <is>
          <t>SR-41; SR-09; AC-05; SR-32; SR-33; SR-34; SR-37; SR-45; SR-46; AbuseCaseRegressionTest; IastIntegrationTest; Maven Enforcer; CycloneDX SBOM; Dependabot; pom.xml; AuthServiceTest; AuditLoggerTest; GlobalExceptionHandlerTest; ControllerIntegrationTests; audit logging implementation detected; SCA/SBOM/enforcer configuration detected; centralized safe error handling detected</t>
        </is>
      </c>
      <c r="I16" s="30" t="inlineStr">
        <is>
          <t>Automatically inferred as implemented or justified from passing tests, source code, configuration, or build artifacts.</t>
        </is>
      </c>
      <c r="J16" s="30" t="inlineStr">
        <is>
          <t>Automated repository evidence</t>
        </is>
      </c>
      <c r="K16" s="30" t="inlineStr">
        <is>
          <t>AbuseCaseRegressionTest; IastIntegrationTest; Maven Enforcer; CycloneDX SBOM; Dependabot; pom.xml; AuthServiceTest; AuditLoggerTest; GlobalExceptionHandlerTest; ControllerIntegrationTests; audit logging implementation detected; SCA/SBOM/enforcer configuration detected; centralized safe error handling detected</t>
        </is>
      </c>
      <c r="L16" s="30" t="inlineStr">
        <is>
          <t>SQL injection regression and taint checks; SQL injection abuse-case regression; dependency governance and SBOM; dependency update monitoring; pinned dependency rules; authentication audit logging; sensitive log data checks; safe error response checks</t>
        </is>
      </c>
      <c r="M16" s="30" t="inlineStr">
        <is>
          <t>Keep make asvs-tracker passing; reassess if code, tests, or scope changes.</t>
        </is>
      </c>
    </row>
    <row r="17" ht="30" customHeight="1" s="26">
      <c r="A17" s="37" t="inlineStr">
        <is>
          <t>V16.4</t>
        </is>
      </c>
      <c r="B17" s="37" t="inlineStr">
        <is>
          <t>Log Protection</t>
        </is>
      </c>
      <c r="C17" s="37" t="inlineStr">
        <is>
          <t>V16.4.2</t>
        </is>
      </c>
      <c r="D17" s="37" t="inlineStr">
        <is>
          <t>Verify that logs are protected from unauthorized access and cannot be modified.</t>
        </is>
      </c>
      <c r="E17" s="35" t="n">
        <v>2</v>
      </c>
      <c r="F17" s="36" t="inlineStr">
        <is>
          <t>Compliant</t>
        </is>
      </c>
      <c r="G17" s="37" t="inlineStr">
        <is>
          <t>Automatically marked compliant from passing evidence: authentication audit logging; sensitive log data checks; safe error response checks.</t>
        </is>
      </c>
      <c r="H17" s="37" t="inlineStr">
        <is>
          <t>SR-41; SR-37; SR-45; SR-46; AuthServiceTest; AuditLoggerTest; GlobalExceptionHandlerTest; ControllerIntegrationTests; audit logging implementation detected; centralized safe error handling detected</t>
        </is>
      </c>
      <c r="I17" s="30" t="inlineStr">
        <is>
          <t>Automatically inferred as implemented or justified from passing tests, source code, configuration, or build artifacts.</t>
        </is>
      </c>
      <c r="J17" s="30" t="inlineStr">
        <is>
          <t>Automated repository evidence</t>
        </is>
      </c>
      <c r="K17" s="30" t="inlineStr">
        <is>
          <t>AuthServiceTest; AuditLoggerTest; GlobalExceptionHandlerTest; ControllerIntegrationTests; audit logging implementation detected; centralized safe error handling detected</t>
        </is>
      </c>
      <c r="L17" s="30" t="inlineStr">
        <is>
          <t>authentication audit logging; sensitive log data checks; safe error response checks</t>
        </is>
      </c>
      <c r="M17" s="30" t="inlineStr">
        <is>
          <t>Keep make asvs-tracker passing; reassess if code, tests, or scope changes.</t>
        </is>
      </c>
    </row>
    <row r="18" ht="30" customHeight="1" s="26">
      <c r="A18" s="34" t="inlineStr">
        <is>
          <t>V16.4</t>
        </is>
      </c>
      <c r="B18" s="34" t="inlineStr">
        <is>
          <t>Log Protection</t>
        </is>
      </c>
      <c r="C18" s="34" t="inlineStr">
        <is>
          <t>V16.4.3</t>
        </is>
      </c>
      <c r="D18" s="34" t="inlineStr">
        <is>
          <t>Verify that logs are securely transmitted to a logically separate system for analysis, detection, alerting, and escalation. The aim is to ensure that if the application is breached, the logs are not compromised.</t>
        </is>
      </c>
      <c r="E18" s="35" t="n">
        <v>2</v>
      </c>
      <c r="F18" s="36" t="inlineStr">
        <is>
          <t>Compliant</t>
        </is>
      </c>
      <c r="G18" s="34" t="inlineStr">
        <is>
          <t>Automatically marked compliant from passing evidence: authentication audit logging; sensitive log data checks; safe error response checks.</t>
        </is>
      </c>
      <c r="H18" s="34" t="inlineStr">
        <is>
          <t>SR-41; SR-37; SR-45; SR-46; AuthServiceTest; AuditLoggerTest; GlobalExceptionHandlerTest; ControllerIntegrationTests; audit logging implementation detected; centralized safe error handling detected</t>
        </is>
      </c>
      <c r="I18" s="30" t="inlineStr">
        <is>
          <t>Automatically inferred as implemented or justified from passing tests, source code, configuration, or build artifacts.</t>
        </is>
      </c>
      <c r="J18" s="30" t="inlineStr">
        <is>
          <t>Automated repository evidence</t>
        </is>
      </c>
      <c r="K18" s="30" t="inlineStr">
        <is>
          <t>AuthServiceTest; AuditLoggerTest; GlobalExceptionHandlerTest; ControllerIntegrationTests; audit logging implementation detected; centralized safe error handling detected</t>
        </is>
      </c>
      <c r="L18" s="30" t="inlineStr">
        <is>
          <t>authentication audit logging; sensitive log data checks; safe error response checks</t>
        </is>
      </c>
      <c r="M18" s="30" t="inlineStr">
        <is>
          <t>Keep make asvs-tracker passing; reassess if code, tests, or scope changes.</t>
        </is>
      </c>
    </row>
    <row r="19" ht="18" customHeight="1" s="26">
      <c r="A19" s="33" t="inlineStr">
        <is>
          <t>V16.5</t>
        </is>
      </c>
      <c r="B19" s="33" t="inlineStr">
        <is>
          <t>Error Handling</t>
        </is>
      </c>
      <c r="C19" s="33" t="n"/>
      <c r="D19" s="33" t="n"/>
      <c r="E19" s="33" t="n"/>
      <c r="F19" s="33" t="n"/>
      <c r="G19" s="33" t="n"/>
      <c r="H19" s="33" t="n"/>
      <c r="I19" s="30" t="n"/>
      <c r="J19" s="30" t="n"/>
      <c r="K19" s="30" t="n"/>
      <c r="L19" s="30" t="n"/>
      <c r="M19" s="30" t="n"/>
    </row>
    <row r="20" ht="30" customHeight="1" s="26">
      <c r="A20" s="34" t="inlineStr">
        <is>
          <t>V16.5</t>
        </is>
      </c>
      <c r="B20" s="34" t="inlineStr">
        <is>
          <t>Error Handling</t>
        </is>
      </c>
      <c r="C20" s="34" t="inlineStr">
        <is>
          <t>V16.5.1</t>
        </is>
      </c>
      <c r="D20" s="34" t="inlineStr">
        <is>
          <t>Verify that a generic message is returned to the consumer when an unexpected or security-sensitive error occurs, ensuring no exposure of sensitive internal system data such as stack traces, queries, secret keys, and tokens.</t>
        </is>
      </c>
      <c r="E20" s="35" t="n">
        <v>2</v>
      </c>
      <c r="F20" s="36" t="inlineStr">
        <is>
          <t>Compliant</t>
        </is>
      </c>
      <c r="G20" s="34" t="inlineStr">
        <is>
          <t>Automatically marked compliant from passing evidence: administrator MFA; JWT signature and algorithm validation; JWT key strength and server-side signing; authentication audit logging; sensitive log data checks; safe error response checks; secrets externalized through configuration; pinned dependency rules.</t>
        </is>
      </c>
      <c r="H20" s="34" t="inlineStr">
        <is>
          <t>SR-01; SR-03; SR-04; SR-37; SR-45; SR-46; SR-11; SR-34; AuthServiceTest; AuthControllerIntegrationTest; AbuseCaseRegressionTest; JwtServiceTest; JwtAuthenticationFilterTest; AuditLoggerTest; GlobalExceptionHandlerTest; ControllerIntegrationTests; GitHub Actions secret scan; application-prod.properties; Maven Enforcer; pom.xml; JWT service and signing/filter code detected; MFA/TOTP code and tests detected; audit logging implementation detected; SCA/SBOM/enforcer configuration detected; centralized safe error handling detected; CI secret/security scanning configuration detected</t>
        </is>
      </c>
      <c r="I20" s="30" t="inlineStr">
        <is>
          <t>Automatically inferred as implemented or justified from passing tests, source code, configuration, or build artifacts.</t>
        </is>
      </c>
      <c r="J20" s="30" t="inlineStr">
        <is>
          <t>Automated repository evidence</t>
        </is>
      </c>
      <c r="K20" s="30" t="inlineStr">
        <is>
          <t>AuthServiceTest; AuthControllerIntegrationTest; AbuseCaseRegressionTest; JwtServiceTest; JwtAuthenticationFilterTest; AuditLoggerTest; GlobalExceptionHandlerTest; ControllerIntegrationTests; GitHub Actions secret scan; application-prod.properties; Maven Enforcer; pom.xml; JWT service and signing/filter code detected; MFA/TOTP code and tests detected; audit logging implementation detected; SCA/SBOM/enforcer configuration detected; centralized safe error handling detected; CI secret/security scanning configuration detected</t>
        </is>
      </c>
      <c r="L20" s="30" t="inlineStr">
        <is>
          <t>administrator MFA; JWT signature and algorithm validation; JWT key strength and server-side signing; authentication audit logging; sensitive log data checks; safe error response checks; secrets externalized through configuration; pinned dependency rules</t>
        </is>
      </c>
      <c r="M20" s="30" t="inlineStr">
        <is>
          <t>Keep make asvs-tracker passing; reassess if code, tests, or scope changes.</t>
        </is>
      </c>
    </row>
    <row r="21" ht="30" customHeight="1" s="26">
      <c r="A21" s="37" t="inlineStr">
        <is>
          <t>V16.5</t>
        </is>
      </c>
      <c r="B21" s="37" t="inlineStr">
        <is>
          <t>Error Handling</t>
        </is>
      </c>
      <c r="C21" s="37" t="inlineStr">
        <is>
          <t>V16.5.2</t>
        </is>
      </c>
      <c r="D21" s="37" t="inlineStr">
        <is>
          <t>Verify that the application continues to operate securely when external resource access fails, for example, by using patterns such as circuit breakers or graceful degradation.</t>
        </is>
      </c>
      <c r="E21" s="35" t="n">
        <v>2</v>
      </c>
      <c r="F21" s="36" t="inlineStr">
        <is>
          <t>Compliant</t>
        </is>
      </c>
      <c r="G21" s="37" t="inlineStr">
        <is>
          <t>Automatically marked compliant from passing evidence: safe error response checks; authentication audit logging; sensitive log data checks.</t>
        </is>
      </c>
      <c r="H21" s="37" t="inlineStr">
        <is>
          <t>SR-46; SR-37; SR-45; GlobalExceptionHandlerTest; ControllerIntegrationTests; AuthServiceTest; AuditLoggerTest; audit logging implementation detected; centralized safe error handling detected</t>
        </is>
      </c>
      <c r="I21" s="30" t="inlineStr">
        <is>
          <t>Automatically inferred as implemented or justified from passing tests, source code, configuration, or build artifacts.</t>
        </is>
      </c>
      <c r="J21" s="30" t="inlineStr">
        <is>
          <t>Automated repository evidence</t>
        </is>
      </c>
      <c r="K21" s="30" t="inlineStr">
        <is>
          <t>GlobalExceptionHandlerTest; ControllerIntegrationTests; AuthServiceTest; AuditLoggerTest; audit logging implementation detected; centralized safe error handling detected</t>
        </is>
      </c>
      <c r="L21" s="30" t="inlineStr">
        <is>
          <t>safe error response checks; authentication audit logging; sensitive log data checks</t>
        </is>
      </c>
      <c r="M21" s="30" t="inlineStr">
        <is>
          <t>Keep make asvs-tracker passing; reassess if code, tests, or scope changes.</t>
        </is>
      </c>
    </row>
    <row r="22" ht="30" customHeight="1" s="26">
      <c r="A22" s="34" t="inlineStr">
        <is>
          <t>V16.5</t>
        </is>
      </c>
      <c r="B22" s="34" t="inlineStr">
        <is>
          <t>Error Handling</t>
        </is>
      </c>
      <c r="C22" s="34" t="inlineStr">
        <is>
          <t>V16.5.3</t>
        </is>
      </c>
      <c r="D22" s="34" t="inlineStr">
        <is>
          <t>Verify that the application fails gracefully and securely, including when an exception occurs, preventing fail-open conditions such as processing a transaction despite errors resulting from validation logic.</t>
        </is>
      </c>
      <c r="E22" s="35" t="n">
        <v>2</v>
      </c>
      <c r="F22" s="36" t="inlineStr">
        <is>
          <t>Compliant</t>
        </is>
      </c>
      <c r="G22" s="34" t="inlineStr">
        <is>
          <t>Automatically marked compliant from passing evidence: safe error response checks;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t>
        </is>
      </c>
      <c r="H22" s="34" t="inlineStr">
        <is>
          <t>SR-46; SR-28; SR-29; SR-30; SR-15; SR-24; SR-25; AC-03; AC-07; SR-37; SR-45; GlobalExceptionHandlerTest; ControllerIntegrationTests; SystemFunctionalTests; ControllerUnitTests; application.properties; SaleServiceTest; SlotServiceTest; AbuseCaseRegressionTest; AuthServiceTest; AuditLoggerTest; Bean Validation and request-shape controls detected; audit logging implementation detected; centralized safe error handling detected</t>
        </is>
      </c>
      <c r="I22" s="30" t="inlineStr">
        <is>
          <t>Automatically inferred as implemented or justified from passing tests, source code, configuration, or build artifacts.</t>
        </is>
      </c>
      <c r="J22" s="30" t="inlineStr">
        <is>
          <t>Automated repository evidence</t>
        </is>
      </c>
      <c r="K22" s="30" t="inlineStr">
        <is>
          <t>GlobalExceptionHandlerTest; ControllerIntegrationTests; SystemFunctionalTests; ControllerUnitTests; application.properties; SaleServiceTest; SlotServiceTest; AbuseCaseRegressionTest; AuthServiceTest; AuditLoggerTest; Bean Validation and request-shape controls detected; audit logging implementation detected; centralized safe error handling detected</t>
        </is>
      </c>
      <c r="L22" s="30" t="inlineStr">
        <is>
          <t>safe error response checks; input shape/range validation; unknown-field rejection; payload/request limit coverage; transaction and stock consistency; server-side price enforcement; stock limit validation; client-supplied price abuse-case regression; TOCTOU/stock race abuse-case regression; authentication audit logging; sensitive log data checks</t>
        </is>
      </c>
      <c r="M22" s="30" t="inlineStr">
        <is>
          <t>Keep make asvs-tracker passing; reassess if code, tests, or scope changes.</t>
        </is>
      </c>
    </row>
    <row r="23" ht="30" customHeight="1" s="26">
      <c r="A23" s="37" t="inlineStr">
        <is>
          <t>V16.5</t>
        </is>
      </c>
      <c r="B23" s="37" t="inlineStr">
        <is>
          <t>Error Handling</t>
        </is>
      </c>
      <c r="C23" s="37" t="inlineStr">
        <is>
          <t>V16.5.4</t>
        </is>
      </c>
      <c r="D23" s="37"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40" t="n">
        <v>3</v>
      </c>
      <c r="F23" s="36" t="inlineStr">
        <is>
          <t>Compliant</t>
        </is>
      </c>
      <c r="G23" s="37" t="inlineStr">
        <is>
          <t>Automatically marked compliant from passing evidence: safe error response checks; path traversal and report sandboxing; unsafe path/link handling; path traversal abuse-case regression; authentication audit logging; sensitive log data checks.</t>
        </is>
      </c>
      <c r="H23" s="37" t="inlineStr">
        <is>
          <t>SR-46; SR-26; SR-27; AC-06; SR-37; SR-45; GlobalExceptionHandlerTest; ControllerIntegrationTests; PathValidatorImplTest; ReportDirectoryServiceImplTest; AbuseCaseRegressionTest; AuthServiceTest; AuditLoggerTest; path validation and report sandbox code detected; audit logging implementation detected; centralized safe error handling detected</t>
        </is>
      </c>
      <c r="I23" s="30" t="inlineStr">
        <is>
          <t>Automatically inferred as implemented or justified from passing tests, source code, configuration, or build artifacts.</t>
        </is>
      </c>
      <c r="J23" s="30" t="inlineStr">
        <is>
          <t>Automated repository evidence</t>
        </is>
      </c>
      <c r="K23" s="30" t="inlineStr">
        <is>
          <t>GlobalExceptionHandlerTest; ControllerIntegrationTests; PathValidatorImplTest; ReportDirectoryServiceImplTest; AbuseCaseRegressionTest; AuthServiceTest; AuditLoggerTest; path validation and report sandbox code detected; audit logging implementation detected; centralized safe error handling detected</t>
        </is>
      </c>
      <c r="L23" s="30" t="inlineStr">
        <is>
          <t>safe error response checks; path traversal and report sandboxing; unsafe path/link handling; path traversal abuse-case regression; authentication audit logging; sensitive log data checks</t>
        </is>
      </c>
      <c r="M23" s="30" t="inlineStr">
        <is>
          <t>Keep make asvs-tracker passing; reassess if code, tests, or scope changes.</t>
        </is>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9.xml><?xml version="1.0" encoding="utf-8"?>
<worksheet xmlns="http://schemas.openxmlformats.org/spreadsheetml/2006/main">
  <sheetPr>
    <outlinePr summaryBelow="1" summaryRight="1"/>
    <pageSetUpPr/>
  </sheetPr>
  <dimension ref="A1:M16"/>
  <sheetViews>
    <sheetView zoomScale="75" zoomScaleNormal="75" workbookViewId="0">
      <pane ySplit="1" topLeftCell="A2" activePane="bottomLeft" state="frozen"/>
      <selection pane="bottomLeft" activeCell="A1" sqref="A1"/>
    </sheetView>
  </sheetViews>
  <sheetFormatPr baseColWidth="8" defaultColWidth="8.5546875" defaultRowHeight="14.4"/>
  <cols>
    <col width="12" customWidth="1" style="26" min="1" max="1"/>
    <col width="28" customWidth="1" style="26" min="2" max="2"/>
    <col width="12" customWidth="1" style="26" min="3" max="3"/>
    <col width="62" customWidth="1" style="26" min="4" max="4"/>
    <col width="8" customWidth="1" style="26" min="5" max="5"/>
    <col width="14" customWidth="1" style="26" min="6" max="6"/>
    <col width="58" customWidth="1" style="26" min="7" max="7"/>
    <col width="44" customWidth="1" style="26" min="8" max="8"/>
    <col width="48" customWidth="1" style="26" min="9" max="9"/>
    <col width="28" customWidth="1" style="26" min="10" max="10"/>
    <col width="46" customWidth="1" style="26" min="11" max="11"/>
    <col width="46" customWidth="1" style="26" min="12" max="12"/>
    <col width="52" customWidth="1" style="26" min="13" max="13"/>
  </cols>
  <sheetData>
    <row r="1" ht="28.05" customHeight="1" s="26">
      <c r="A1" s="32" t="inlineStr">
        <is>
          <t>Section ID</t>
        </is>
      </c>
      <c r="B1" s="32" t="inlineStr">
        <is>
          <t>Section Name</t>
        </is>
      </c>
      <c r="C1" s="32" t="inlineStr">
        <is>
          <t>Req ID</t>
        </is>
      </c>
      <c r="D1" s="32" t="inlineStr">
        <is>
          <t>Description</t>
        </is>
      </c>
      <c r="E1" s="32" t="inlineStr">
        <is>
          <t>Level</t>
        </is>
      </c>
      <c r="F1" s="32" t="inlineStr">
        <is>
          <t>Status</t>
        </is>
      </c>
      <c r="G1" s="32" t="inlineStr">
        <is>
          <t>Observations</t>
        </is>
      </c>
      <c r="H1" s="32" t="inlineStr">
        <is>
          <t>Reference / Link</t>
        </is>
      </c>
      <c r="I1" s="31" t="inlineStr">
        <is>
          <t>DX Status Meaning</t>
        </is>
      </c>
      <c r="J1" s="31" t="inlineStr">
        <is>
          <t>Evidence Type</t>
        </is>
      </c>
      <c r="K1" s="31" t="inlineStr">
        <is>
          <t>Automated Evidence</t>
        </is>
      </c>
      <c r="L1" s="31" t="inlineStr">
        <is>
          <t>Evidence Source</t>
        </is>
      </c>
      <c r="M1" s="31" t="inlineStr">
        <is>
          <t>Next Action</t>
        </is>
      </c>
    </row>
    <row r="2" ht="18" customHeight="1" s="26">
      <c r="A2" s="33" t="inlineStr">
        <is>
          <t>V17.1</t>
        </is>
      </c>
      <c r="B2" s="33" t="inlineStr">
        <is>
          <t>TURN Server</t>
        </is>
      </c>
      <c r="C2" s="33" t="n"/>
      <c r="D2" s="33" t="n"/>
      <c r="E2" s="33" t="n"/>
      <c r="F2" s="33" t="n"/>
      <c r="G2" s="33" t="n"/>
      <c r="H2" s="33" t="n"/>
      <c r="I2" s="30" t="n"/>
      <c r="J2" s="30" t="n"/>
      <c r="K2" s="30" t="n"/>
      <c r="L2" s="30" t="n"/>
      <c r="M2" s="30" t="n"/>
    </row>
    <row r="3" ht="30" customHeight="1" s="26">
      <c r="A3" s="34" t="inlineStr">
        <is>
          <t>V17.1</t>
        </is>
      </c>
      <c r="B3" s="34" t="inlineStr">
        <is>
          <t>TURN Server</t>
        </is>
      </c>
      <c r="C3" s="34" t="inlineStr">
        <is>
          <t>V17.1.1</t>
        </is>
      </c>
      <c r="D3" s="34" t="inlineStr">
        <is>
          <t>Verify that the Traversal Using Relays around NAT (TURN) service only allows access to IP addresses that are not reserved for special purposes (e.g., internal networks, broadcast, loopback). Note that this applies to both IPv4 and IPv6 addresses.</t>
        </is>
      </c>
      <c r="E3" s="35" t="n">
        <v>2</v>
      </c>
      <c r="F3" s="39" t="inlineStr">
        <is>
          <t>N/A</t>
        </is>
      </c>
      <c r="G3" s="34" t="inlineStr">
        <is>
          <t>Automatically marked out of scope: No WebRTC, TURN, STUN, DTLS media, or browser real-time media component exists in this backend.</t>
        </is>
      </c>
      <c r="H3" s="34" t="inlineStr">
        <is>
          <t>Automated scope inference</t>
        </is>
      </c>
      <c r="I3" s="30" t="inlineStr">
        <is>
          <t>Out of scope for VendNet as currently implemented, or the requirement does not apply to this REST API/backend.</t>
        </is>
      </c>
      <c r="J3" s="30" t="inlineStr">
        <is>
          <t>Scope inference</t>
        </is>
      </c>
      <c r="K3" s="30" t="inlineStr">
        <is>
          <t>Not required for current backend scope.</t>
        </is>
      </c>
      <c r="L3" s="30" t="inlineStr">
        <is>
          <t>No WebRTC, TURN, STUN, DTLS media, or browser real-time media component exists in this backend.</t>
        </is>
      </c>
      <c r="M3" s="30" t="inlineStr">
        <is>
          <t>Revisit if the application scope changes.</t>
        </is>
      </c>
    </row>
    <row r="4" ht="30" customHeight="1" s="26">
      <c r="A4" s="37" t="inlineStr">
        <is>
          <t>V17.1</t>
        </is>
      </c>
      <c r="B4" s="37" t="inlineStr">
        <is>
          <t>TURN Server</t>
        </is>
      </c>
      <c r="C4" s="37" t="inlineStr">
        <is>
          <t>V17.1.2</t>
        </is>
      </c>
      <c r="D4" s="37" t="inlineStr">
        <is>
          <t>Verify that the Traversal Using Relays around NAT (TURN) service is not susceptible to resource exhaustion when legitimate users attempt to open a large number of ports on the TURN server.</t>
        </is>
      </c>
      <c r="E4" s="40" t="n">
        <v>3</v>
      </c>
      <c r="F4" s="39" t="inlineStr">
        <is>
          <t>N/A</t>
        </is>
      </c>
      <c r="G4" s="37" t="inlineStr">
        <is>
          <t>Automatically marked out of scope: No WebRTC, TURN, STUN, DTLS media, or browser real-time media component exists in this backend.</t>
        </is>
      </c>
      <c r="H4" s="37" t="inlineStr">
        <is>
          <t>Automated scope inference</t>
        </is>
      </c>
      <c r="I4" s="30" t="inlineStr">
        <is>
          <t>Out of scope for VendNet as currently implemented, or the requirement does not apply to this REST API/backend.</t>
        </is>
      </c>
      <c r="J4" s="30" t="inlineStr">
        <is>
          <t>Scope inference</t>
        </is>
      </c>
      <c r="K4" s="30" t="inlineStr">
        <is>
          <t>Not required for current backend scope.</t>
        </is>
      </c>
      <c r="L4" s="30" t="inlineStr">
        <is>
          <t>No WebRTC, TURN, STUN, DTLS media, or browser real-time media component exists in this backend.</t>
        </is>
      </c>
      <c r="M4" s="30" t="inlineStr">
        <is>
          <t>Revisit if the application scope changes.</t>
        </is>
      </c>
    </row>
    <row r="5" ht="18" customHeight="1" s="26">
      <c r="A5" s="33" t="inlineStr">
        <is>
          <t>V17.2</t>
        </is>
      </c>
      <c r="B5" s="33" t="inlineStr">
        <is>
          <t>Media</t>
        </is>
      </c>
      <c r="C5" s="33" t="n"/>
      <c r="D5" s="33" t="n"/>
      <c r="E5" s="33" t="n"/>
      <c r="F5" s="33" t="n"/>
      <c r="G5" s="33" t="n"/>
      <c r="H5" s="33" t="n"/>
      <c r="I5" s="30" t="n"/>
      <c r="J5" s="30" t="n"/>
      <c r="K5" s="30" t="n"/>
      <c r="L5" s="30" t="n"/>
      <c r="M5" s="30" t="n"/>
    </row>
    <row r="6" ht="30" customHeight="1" s="26">
      <c r="A6" s="34" t="inlineStr">
        <is>
          <t>V17.2</t>
        </is>
      </c>
      <c r="B6" s="34" t="inlineStr">
        <is>
          <t>Media</t>
        </is>
      </c>
      <c r="C6" s="34" t="inlineStr">
        <is>
          <t>V17.2.1</t>
        </is>
      </c>
      <c r="D6" s="34" t="inlineStr">
        <is>
          <t>Verify that the key for the Datagram Transport Layer Security (DTLS) certificate is managed and protected based on the documented policy for management of cryptographic keys.</t>
        </is>
      </c>
      <c r="E6" s="35" t="n">
        <v>2</v>
      </c>
      <c r="F6" s="39" t="inlineStr">
        <is>
          <t>N/A</t>
        </is>
      </c>
      <c r="G6" s="34" t="inlineStr">
        <is>
          <t>Automatically marked out of scope: No WebRTC, TURN, STUN, DTLS media, or browser real-time media component exists in this backend.</t>
        </is>
      </c>
      <c r="H6" s="34" t="inlineStr">
        <is>
          <t>Automated scope inference</t>
        </is>
      </c>
      <c r="I6" s="30" t="inlineStr">
        <is>
          <t>Out of scope for VendNet as currently implemented, or the requirement does not apply to this REST API/backend.</t>
        </is>
      </c>
      <c r="J6" s="30" t="inlineStr">
        <is>
          <t>Scope inference</t>
        </is>
      </c>
      <c r="K6" s="30" t="inlineStr">
        <is>
          <t>Not required for current backend scope.</t>
        </is>
      </c>
      <c r="L6" s="30" t="inlineStr">
        <is>
          <t>No WebRTC, TURN, STUN, DTLS media, or browser real-time media component exists in this backend.</t>
        </is>
      </c>
      <c r="M6" s="30" t="inlineStr">
        <is>
          <t>Revisit if the application scope changes.</t>
        </is>
      </c>
    </row>
    <row r="7" ht="30" customHeight="1" s="26">
      <c r="A7" s="37" t="inlineStr">
        <is>
          <t>V17.2</t>
        </is>
      </c>
      <c r="B7" s="37" t="inlineStr">
        <is>
          <t>Media</t>
        </is>
      </c>
      <c r="C7" s="37" t="inlineStr">
        <is>
          <t>V17.2.2</t>
        </is>
      </c>
      <c r="D7" s="37"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35" t="n">
        <v>2</v>
      </c>
      <c r="F7" s="39" t="inlineStr">
        <is>
          <t>N/A</t>
        </is>
      </c>
      <c r="G7" s="37" t="inlineStr">
        <is>
          <t>Automatically marked out of scope: No WebRTC, TURN, STUN, DTLS media, or browser real-time media component exists in this backend.</t>
        </is>
      </c>
      <c r="H7" s="37" t="inlineStr">
        <is>
          <t>Automated scope inference</t>
        </is>
      </c>
      <c r="I7" s="30" t="inlineStr">
        <is>
          <t>Out of scope for VendNet as currently implemented, or the requirement does not apply to this REST API/backend.</t>
        </is>
      </c>
      <c r="J7" s="30" t="inlineStr">
        <is>
          <t>Scope inference</t>
        </is>
      </c>
      <c r="K7" s="30" t="inlineStr">
        <is>
          <t>Not required for current backend scope.</t>
        </is>
      </c>
      <c r="L7" s="30" t="inlineStr">
        <is>
          <t>No WebRTC, TURN, STUN, DTLS media, or browser real-time media component exists in this backend.</t>
        </is>
      </c>
      <c r="M7" s="30" t="inlineStr">
        <is>
          <t>Revisit if the application scope changes.</t>
        </is>
      </c>
    </row>
    <row r="8" ht="30" customHeight="1" s="26">
      <c r="A8" s="34" t="inlineStr">
        <is>
          <t>V17.2</t>
        </is>
      </c>
      <c r="B8" s="34" t="inlineStr">
        <is>
          <t>Media</t>
        </is>
      </c>
      <c r="C8" s="34" t="inlineStr">
        <is>
          <t>V17.2.3</t>
        </is>
      </c>
      <c r="D8" s="34"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35" t="n">
        <v>2</v>
      </c>
      <c r="F8" s="39" t="inlineStr">
        <is>
          <t>N/A</t>
        </is>
      </c>
      <c r="G8" s="34" t="inlineStr">
        <is>
          <t>Automatically marked out of scope: No WebRTC, TURN, STUN, DTLS media, or browser real-time media component exists in this backend.</t>
        </is>
      </c>
      <c r="H8" s="34" t="inlineStr">
        <is>
          <t>Automated scope inference</t>
        </is>
      </c>
      <c r="I8" s="30" t="inlineStr">
        <is>
          <t>Out of scope for VendNet as currently implemented, or the requirement does not apply to this REST API/backend.</t>
        </is>
      </c>
      <c r="J8" s="30" t="inlineStr">
        <is>
          <t>Scope inference</t>
        </is>
      </c>
      <c r="K8" s="30" t="inlineStr">
        <is>
          <t>Not required for current backend scope.</t>
        </is>
      </c>
      <c r="L8" s="30" t="inlineStr">
        <is>
          <t>No WebRTC, TURN, STUN, DTLS media, or browser real-time media component exists in this backend.</t>
        </is>
      </c>
      <c r="M8" s="30" t="inlineStr">
        <is>
          <t>Revisit if the application scope changes.</t>
        </is>
      </c>
    </row>
    <row r="9" ht="30" customHeight="1" s="26">
      <c r="A9" s="37" t="inlineStr">
        <is>
          <t>V17.2</t>
        </is>
      </c>
      <c r="B9" s="37" t="inlineStr">
        <is>
          <t>Media</t>
        </is>
      </c>
      <c r="C9" s="37" t="inlineStr">
        <is>
          <t>V17.2.4</t>
        </is>
      </c>
      <c r="D9" s="37" t="inlineStr">
        <is>
          <t>Verify that the media server is able to continue processing incoming media traffic when encountering malformed Secure Real-time Transport Protocol (SRTP) packets.</t>
        </is>
      </c>
      <c r="E9" s="35" t="n">
        <v>2</v>
      </c>
      <c r="F9" s="39" t="inlineStr">
        <is>
          <t>N/A</t>
        </is>
      </c>
      <c r="G9" s="37" t="inlineStr">
        <is>
          <t>Automatically marked out of scope: No WebRTC, TURN, STUN, DTLS media, or browser real-time media component exists in this backend.</t>
        </is>
      </c>
      <c r="H9" s="37" t="inlineStr">
        <is>
          <t>Automated scope inference</t>
        </is>
      </c>
      <c r="I9" s="30" t="inlineStr">
        <is>
          <t>Out of scope for VendNet as currently implemented, or the requirement does not apply to this REST API/backend.</t>
        </is>
      </c>
      <c r="J9" s="30" t="inlineStr">
        <is>
          <t>Scope inference</t>
        </is>
      </c>
      <c r="K9" s="30" t="inlineStr">
        <is>
          <t>Not required for current backend scope.</t>
        </is>
      </c>
      <c r="L9" s="30" t="inlineStr">
        <is>
          <t>No WebRTC, TURN, STUN, DTLS media, or browser real-time media component exists in this backend.</t>
        </is>
      </c>
      <c r="M9" s="30" t="inlineStr">
        <is>
          <t>Revisit if the application scope changes.</t>
        </is>
      </c>
    </row>
    <row r="10" ht="30" customHeight="1" s="26">
      <c r="A10" s="34" t="inlineStr">
        <is>
          <t>V17.2</t>
        </is>
      </c>
      <c r="B10" s="34" t="inlineStr">
        <is>
          <t>Media</t>
        </is>
      </c>
      <c r="C10" s="34" t="inlineStr">
        <is>
          <t>V17.2.5</t>
        </is>
      </c>
      <c r="D10" s="34" t="inlineStr">
        <is>
          <t>Verify that the media server is able to continue processing incoming media traffic during a flood of Secure Real-time Transport Protocol (SRTP) packets from legitimate users.</t>
        </is>
      </c>
      <c r="E10" s="40" t="n">
        <v>3</v>
      </c>
      <c r="F10" s="39" t="inlineStr">
        <is>
          <t>N/A</t>
        </is>
      </c>
      <c r="G10" s="34" t="inlineStr">
        <is>
          <t>Automatically marked out of scope: No WebRTC, TURN, STUN, DTLS media, or browser real-time media component exists in this backend.</t>
        </is>
      </c>
      <c r="H10" s="34" t="inlineStr">
        <is>
          <t>Automated scope inference</t>
        </is>
      </c>
      <c r="I10" s="30" t="inlineStr">
        <is>
          <t>Out of scope for VendNet as currently implemented, or the requirement does not apply to this REST API/backend.</t>
        </is>
      </c>
      <c r="J10" s="30" t="inlineStr">
        <is>
          <t>Scope inference</t>
        </is>
      </c>
      <c r="K10" s="30" t="inlineStr">
        <is>
          <t>Not required for current backend scope.</t>
        </is>
      </c>
      <c r="L10" s="30" t="inlineStr">
        <is>
          <t>No WebRTC, TURN, STUN, DTLS media, or browser real-time media component exists in this backend.</t>
        </is>
      </c>
      <c r="M10" s="30" t="inlineStr">
        <is>
          <t>Revisit if the application scope changes.</t>
        </is>
      </c>
    </row>
    <row r="11" ht="30" customHeight="1" s="26">
      <c r="A11" s="37" t="inlineStr">
        <is>
          <t>V17.2</t>
        </is>
      </c>
      <c r="B11" s="37" t="inlineStr">
        <is>
          <t>Media</t>
        </is>
      </c>
      <c r="C11" s="37" t="inlineStr">
        <is>
          <t>V17.2.6</t>
        </is>
      </c>
      <c r="D11" s="37" t="inlineStr">
        <is>
          <t>Verify that the media server is not susceptible to the "ClientHello" Race Condition vulnerability in Datagram Transport Layer Security (DTLS) by checking if the media server is publicly known to be vulnerable or by performing the race condition test.</t>
        </is>
      </c>
      <c r="E11" s="40" t="n">
        <v>3</v>
      </c>
      <c r="F11" s="39" t="inlineStr">
        <is>
          <t>N/A</t>
        </is>
      </c>
      <c r="G11" s="37" t="inlineStr">
        <is>
          <t>Automatically marked out of scope: No WebRTC, TURN, STUN, DTLS media, or browser real-time media component exists in this backend.</t>
        </is>
      </c>
      <c r="H11" s="37" t="inlineStr">
        <is>
          <t>Automated scope inference</t>
        </is>
      </c>
      <c r="I11" s="30" t="inlineStr">
        <is>
          <t>Out of scope for VendNet as currently implemented, or the requirement does not apply to this REST API/backend.</t>
        </is>
      </c>
      <c r="J11" s="30" t="inlineStr">
        <is>
          <t>Scope inference</t>
        </is>
      </c>
      <c r="K11" s="30" t="inlineStr">
        <is>
          <t>Not required for current backend scope.</t>
        </is>
      </c>
      <c r="L11" s="30" t="inlineStr">
        <is>
          <t>No WebRTC, TURN, STUN, DTLS media, or browser real-time media component exists in this backend.</t>
        </is>
      </c>
      <c r="M11" s="30" t="inlineStr">
        <is>
          <t>Revisit if the application scope changes.</t>
        </is>
      </c>
    </row>
    <row r="12" ht="30" customHeight="1" s="26">
      <c r="A12" s="34" t="inlineStr">
        <is>
          <t>V17.2</t>
        </is>
      </c>
      <c r="B12" s="34" t="inlineStr">
        <is>
          <t>Media</t>
        </is>
      </c>
      <c r="C12" s="34" t="inlineStr">
        <is>
          <t>V17.2.7</t>
        </is>
      </c>
      <c r="D12" s="34" t="inlineStr">
        <is>
          <t>Verify that any audio or video recording mechanisms associated with the media server are able to continue processing incoming media traffic during a flood of Secure Real-time Transport Protocol (SRTP) packets from legitimate users.</t>
        </is>
      </c>
      <c r="E12" s="40" t="n">
        <v>3</v>
      </c>
      <c r="F12" s="39" t="inlineStr">
        <is>
          <t>N/A</t>
        </is>
      </c>
      <c r="G12" s="34" t="inlineStr">
        <is>
          <t>Automatically marked out of scope: No WebRTC, TURN, STUN, DTLS media, or browser real-time media component exists in this backend.</t>
        </is>
      </c>
      <c r="H12" s="34" t="inlineStr">
        <is>
          <t>Automated scope inference</t>
        </is>
      </c>
      <c r="I12" s="30" t="inlineStr">
        <is>
          <t>Out of scope for VendNet as currently implemented, or the requirement does not apply to this REST API/backend.</t>
        </is>
      </c>
      <c r="J12" s="30" t="inlineStr">
        <is>
          <t>Scope inference</t>
        </is>
      </c>
      <c r="K12" s="30" t="inlineStr">
        <is>
          <t>Not required for current backend scope.</t>
        </is>
      </c>
      <c r="L12" s="30" t="inlineStr">
        <is>
          <t>No WebRTC, TURN, STUN, DTLS media, or browser real-time media component exists in this backend.</t>
        </is>
      </c>
      <c r="M12" s="30" t="inlineStr">
        <is>
          <t>Revisit if the application scope changes.</t>
        </is>
      </c>
    </row>
    <row r="13" ht="30" customHeight="1" s="26">
      <c r="A13" s="37" t="inlineStr">
        <is>
          <t>V17.2</t>
        </is>
      </c>
      <c r="B13" s="37" t="inlineStr">
        <is>
          <t>Media</t>
        </is>
      </c>
      <c r="C13" s="37" t="inlineStr">
        <is>
          <t>V17.2.8</t>
        </is>
      </c>
      <c r="D13" s="37" t="inlineStr">
        <is>
          <t>Verify that the Datagram Transport Layer Security (DTLS) certificate is checked against the Session Description Protocol (SDP) fingerprint attribute, terminating the media stream if the check fails, to ensure the authenticity of the media stream.</t>
        </is>
      </c>
      <c r="E13" s="40" t="n">
        <v>3</v>
      </c>
      <c r="F13" s="39" t="inlineStr">
        <is>
          <t>N/A</t>
        </is>
      </c>
      <c r="G13" s="37" t="inlineStr">
        <is>
          <t>Automatically marked out of scope: No WebRTC, TURN, STUN, DTLS media, or browser real-time media component exists in this backend.</t>
        </is>
      </c>
      <c r="H13" s="37" t="inlineStr">
        <is>
          <t>Automated scope inference</t>
        </is>
      </c>
      <c r="I13" s="30" t="inlineStr">
        <is>
          <t>Out of scope for VendNet as currently implemented, or the requirement does not apply to this REST API/backend.</t>
        </is>
      </c>
      <c r="J13" s="30" t="inlineStr">
        <is>
          <t>Scope inference</t>
        </is>
      </c>
      <c r="K13" s="30" t="inlineStr">
        <is>
          <t>Not required for current backend scope.</t>
        </is>
      </c>
      <c r="L13" s="30" t="inlineStr">
        <is>
          <t>No WebRTC, TURN, STUN, DTLS media, or browser real-time media component exists in this backend.</t>
        </is>
      </c>
      <c r="M13" s="30" t="inlineStr">
        <is>
          <t>Revisit if the application scope changes.</t>
        </is>
      </c>
    </row>
    <row r="14" ht="18" customHeight="1" s="26">
      <c r="A14" s="33" t="inlineStr">
        <is>
          <t>V17.3</t>
        </is>
      </c>
      <c r="B14" s="33" t="inlineStr">
        <is>
          <t>Signaling</t>
        </is>
      </c>
      <c r="C14" s="33" t="n"/>
      <c r="D14" s="33" t="n"/>
      <c r="E14" s="33" t="n"/>
      <c r="F14" s="33" t="n"/>
      <c r="G14" s="33" t="n"/>
      <c r="H14" s="33" t="n"/>
      <c r="I14" s="30" t="n"/>
      <c r="J14" s="30" t="n"/>
      <c r="K14" s="30" t="n"/>
      <c r="L14" s="30" t="n"/>
      <c r="M14" s="30" t="n"/>
    </row>
    <row r="15" ht="30" customHeight="1" s="26">
      <c r="A15" s="34" t="inlineStr">
        <is>
          <t>V17.3</t>
        </is>
      </c>
      <c r="B15" s="34" t="inlineStr">
        <is>
          <t>Signaling</t>
        </is>
      </c>
      <c r="C15" s="34" t="inlineStr">
        <is>
          <t>V17.3.1</t>
        </is>
      </c>
      <c r="D15" s="34" t="inlineStr">
        <is>
          <t>Verify that the signaling server is able to continue processing legitimate incoming signaling messages during a flood attack. This should be achieved by implementing rate limiting at the signaling level.</t>
        </is>
      </c>
      <c r="E15" s="35" t="n">
        <v>2</v>
      </c>
      <c r="F15" s="39" t="inlineStr">
        <is>
          <t>N/A</t>
        </is>
      </c>
      <c r="G15" s="34" t="inlineStr">
        <is>
          <t>Automatically marked out of scope: No WebRTC, TURN, STUN, DTLS media, or browser real-time media component exists in this backend.</t>
        </is>
      </c>
      <c r="H15" s="34" t="inlineStr">
        <is>
          <t>Automated scope inference</t>
        </is>
      </c>
      <c r="I15" s="30" t="inlineStr">
        <is>
          <t>Out of scope for VendNet as currently implemented, or the requirement does not apply to this REST API/backend.</t>
        </is>
      </c>
      <c r="J15" s="30" t="inlineStr">
        <is>
          <t>Scope inference</t>
        </is>
      </c>
      <c r="K15" s="30" t="inlineStr">
        <is>
          <t>Not required for current backend scope.</t>
        </is>
      </c>
      <c r="L15" s="30" t="inlineStr">
        <is>
          <t>No WebRTC, TURN, STUN, DTLS media, or browser real-time media component exists in this backend.</t>
        </is>
      </c>
      <c r="M15" s="30" t="inlineStr">
        <is>
          <t>Revisit if the application scope changes.</t>
        </is>
      </c>
    </row>
    <row r="16" ht="30" customHeight="1" s="26">
      <c r="A16" s="37" t="inlineStr">
        <is>
          <t>V17.3</t>
        </is>
      </c>
      <c r="B16" s="37" t="inlineStr">
        <is>
          <t>Signaling</t>
        </is>
      </c>
      <c r="C16" s="37" t="inlineStr">
        <is>
          <t>V17.3.2</t>
        </is>
      </c>
      <c r="D16" s="37"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35" t="n">
        <v>2</v>
      </c>
      <c r="F16" s="39" t="inlineStr">
        <is>
          <t>N/A</t>
        </is>
      </c>
      <c r="G16" s="37" t="inlineStr">
        <is>
          <t>Automatically marked out of scope: No WebRTC, TURN, STUN, DTLS media, or browser real-time media component exists in this backend.</t>
        </is>
      </c>
      <c r="H16" s="37" t="inlineStr">
        <is>
          <t>Automated scope inference</t>
        </is>
      </c>
      <c r="I16" s="30" t="inlineStr">
        <is>
          <t>Out of scope for VendNet as currently implemented, or the requirement does not apply to this REST API/backend.</t>
        </is>
      </c>
      <c r="J16" s="30" t="inlineStr">
        <is>
          <t>Scope inference</t>
        </is>
      </c>
      <c r="K16" s="30" t="inlineStr">
        <is>
          <t>Not required for current backend scope.</t>
        </is>
      </c>
      <c r="L16" s="30" t="inlineStr">
        <is>
          <t>No WebRTC, TURN, STUN, DTLS media, or browser real-time media component exists in this backend.</t>
        </is>
      </c>
      <c r="M16" s="30" t="inlineStr">
        <is>
          <t>Revisit if the application scope changes.</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20.xml><?xml version="1.0" encoding="utf-8"?>
<worksheet xmlns="http://schemas.openxmlformats.org/spreadsheetml/2006/main">
  <sheetPr>
    <outlinePr summaryBelow="1" summaryRight="1"/>
    <pageSetUpPr/>
  </sheetPr>
  <dimension ref="A1:G69"/>
  <sheetViews>
    <sheetView workbookViewId="0">
      <pane ySplit="17" topLeftCell="A18" activePane="bottomLeft" state="frozen"/>
      <selection pane="bottomLeft" activeCell="A1" sqref="A1"/>
    </sheetView>
  </sheetViews>
  <sheetFormatPr baseColWidth="8" defaultRowHeight="15"/>
  <cols>
    <col width="48" customWidth="1" style="26" min="1" max="1"/>
    <col width="70" customWidth="1" style="26" min="2" max="2"/>
    <col width="10" customWidth="1" style="26" min="3" max="3"/>
    <col width="10" customWidth="1" style="26" min="4" max="4"/>
    <col width="10" customWidth="1" style="26" min="5" max="5"/>
    <col width="10" customWidth="1" style="26" min="6" max="6"/>
    <col width="14" customWidth="1" style="26" min="7" max="7"/>
  </cols>
  <sheetData>
    <row r="1">
      <c r="A1" s="42" t="inlineStr">
        <is>
          <t>ASVS Tracker Evidence</t>
        </is>
      </c>
      <c r="B1" s="30" t="inlineStr"/>
      <c r="C1" s="30" t="inlineStr"/>
      <c r="D1" s="30" t="inlineStr"/>
      <c r="E1" s="30" t="inlineStr"/>
      <c r="F1" s="30" t="inlineStr"/>
      <c r="G1" s="30" t="inlineStr"/>
    </row>
    <row r="2">
      <c r="A2" s="30" t="inlineStr">
        <is>
          <t>Generated at</t>
        </is>
      </c>
      <c r="B2" s="30" t="inlineStr">
        <is>
          <t>2026-06-05T16:07:07+00:00</t>
        </is>
      </c>
      <c r="C2" s="30" t="inlineStr"/>
      <c r="D2" s="30" t="inlineStr"/>
      <c r="E2" s="30" t="inlineStr"/>
      <c r="F2" s="30" t="inlineStr"/>
      <c r="G2" s="30" t="inlineStr"/>
    </row>
    <row r="3">
      <c r="A3" s="30" t="inlineStr">
        <is>
          <t>Automation mode</t>
        </is>
      </c>
      <c r="B3" s="30" t="inlineStr">
        <is>
          <t>Excel rows + repository evidence inference; markdown tracker ignored</t>
        </is>
      </c>
      <c r="C3" s="30" t="inlineStr"/>
      <c r="D3" s="30" t="inlineStr"/>
      <c r="E3" s="30" t="inlineStr"/>
      <c r="F3" s="30" t="inlineStr"/>
      <c r="G3" s="30" t="inlineStr"/>
    </row>
    <row r="4">
      <c r="A4" s="30" t="inlineStr">
        <is>
          <t>Workbook source</t>
        </is>
      </c>
      <c r="B4" s="30" t="inlineStr">
        <is>
          <t>Deliverables/Phase1/ASVS_Checklist/ASVS_5.0_Tracker1.xlsx</t>
        </is>
      </c>
      <c r="C4" s="30" t="inlineStr"/>
      <c r="D4" s="30" t="inlineStr"/>
      <c r="E4" s="30" t="inlineStr"/>
      <c r="F4" s="30" t="inlineStr"/>
      <c r="G4" s="30" t="inlineStr"/>
    </row>
    <row r="5">
      <c r="A5" s="30" t="inlineStr">
        <is>
          <t>Filled workbook</t>
        </is>
      </c>
      <c r="B5" s="30" t="inlineStr">
        <is>
          <t>Deliverables/Phase1/ASVS_Checklist/ASVS_5.0_Tracker_filled.xlsx</t>
        </is>
      </c>
      <c r="C5" s="30" t="inlineStr"/>
      <c r="D5" s="30" t="inlineStr"/>
      <c r="E5" s="30" t="inlineStr"/>
      <c r="F5" s="30" t="inlineStr"/>
      <c r="G5" s="30" t="inlineStr"/>
    </row>
    <row r="6">
      <c r="A6" s="30" t="inlineStr">
        <is>
          <t>Workbook requirement rows inferred</t>
        </is>
      </c>
      <c r="B6" s="30" t="n">
        <v>345</v>
      </c>
      <c r="C6" s="30" t="inlineStr"/>
      <c r="D6" s="30" t="inlineStr"/>
      <c r="E6" s="30" t="inlineStr"/>
      <c r="F6" s="30" t="inlineStr"/>
      <c r="G6" s="30" t="inlineStr"/>
    </row>
    <row r="7">
      <c r="A7" s="30" t="inlineStr">
        <is>
          <t>Repository files scanned</t>
        </is>
      </c>
      <c r="B7" s="30" t="n">
        <v>167</v>
      </c>
      <c r="C7" s="30" t="inlineStr"/>
      <c r="D7" s="30" t="inlineStr"/>
      <c r="E7" s="30" t="inlineStr"/>
      <c r="F7" s="30" t="inlineStr"/>
      <c r="G7" s="30" t="inlineStr"/>
    </row>
    <row r="8">
      <c r="A8" s="30" t="inlineStr">
        <is>
          <t>Reference tokens found in repo</t>
        </is>
      </c>
      <c r="B8" s="30" t="inlineStr">
        <is>
          <t>AC-01; AC-02; AC-03; AC-04; AC-05; AC-06; AC-07; AC-08; FR-07; FR-12; NFR-01; SR-01; SR-02; SR-03; SR-05; SR-06; SR-08; SR-09; SR-15; SR-19; SR-24; SR-26; SR-28; SR-34</t>
        </is>
      </c>
      <c r="C8" s="30" t="inlineStr"/>
      <c r="D8" s="30" t="inlineStr"/>
      <c r="E8" s="30" t="inlineStr"/>
      <c r="F8" s="30" t="inlineStr"/>
      <c r="G8" s="30" t="inlineStr"/>
    </row>
    <row r="9">
      <c r="A9" s="30" t="inlineStr">
        <is>
          <t>Detected feature flags</t>
        </is>
      </c>
      <c r="B9" s="30" t="inlineStr">
        <is>
          <t>aes_backup, audit, ci_security, file_sandbox, hmac, jwt, mfa, mtls, no_frontend, no_graphql, no_oauth, no_webrtc, no_websocket, no_xml_api, openapi, payload_limits, rbac, safe_errors, sca, unknown_fields, validation</t>
        </is>
      </c>
      <c r="C9" s="30" t="inlineStr"/>
      <c r="D9" s="30" t="inlineStr"/>
      <c r="E9" s="30" t="inlineStr"/>
      <c r="F9" s="30" t="inlineStr"/>
      <c r="G9" s="30" t="inlineStr"/>
    </row>
    <row r="10">
      <c r="A10" s="30" t="inlineStr">
        <is>
          <t>Maven XML report files</t>
        </is>
      </c>
      <c r="B10" s="30" t="n">
        <v>52</v>
      </c>
      <c r="C10" s="30" t="inlineStr"/>
      <c r="D10" s="30" t="inlineStr"/>
      <c r="E10" s="30" t="inlineStr"/>
      <c r="F10" s="30" t="inlineStr"/>
      <c r="G10" s="30" t="inlineStr"/>
    </row>
    <row r="11">
      <c r="A11" s="30" t="inlineStr">
        <is>
          <t>Total tests</t>
        </is>
      </c>
      <c r="B11" s="30" t="n">
        <v>391</v>
      </c>
      <c r="C11" s="30" t="inlineStr"/>
      <c r="D11" s="30" t="inlineStr"/>
      <c r="E11" s="30" t="inlineStr"/>
      <c r="F11" s="30" t="inlineStr"/>
      <c r="G11" s="30" t="inlineStr"/>
    </row>
    <row r="12">
      <c r="A12" s="30" t="inlineStr">
        <is>
          <t>Failures</t>
        </is>
      </c>
      <c r="B12" s="30" t="n">
        <v>0</v>
      </c>
      <c r="C12" s="30" t="inlineStr"/>
      <c r="D12" s="30" t="inlineStr"/>
      <c r="E12" s="30" t="inlineStr"/>
      <c r="F12" s="30" t="inlineStr"/>
      <c r="G12" s="30" t="inlineStr"/>
    </row>
    <row r="13">
      <c r="A13" s="30" t="inlineStr">
        <is>
          <t>Errors</t>
        </is>
      </c>
      <c r="B13" s="30" t="n">
        <v>0</v>
      </c>
      <c r="C13" s="30" t="inlineStr"/>
      <c r="D13" s="30" t="inlineStr"/>
      <c r="E13" s="30" t="inlineStr"/>
      <c r="F13" s="30" t="inlineStr"/>
      <c r="G13" s="30" t="inlineStr"/>
    </row>
    <row r="14">
      <c r="A14" s="30" t="inlineStr">
        <is>
          <t>Skipped</t>
        </is>
      </c>
      <c r="B14" s="30" t="n">
        <v>0</v>
      </c>
      <c r="C14" s="30" t="inlineStr"/>
      <c r="D14" s="30" t="inlineStr"/>
      <c r="E14" s="30" t="inlineStr"/>
      <c r="F14" s="30" t="inlineStr"/>
      <c r="G14" s="30" t="inlineStr"/>
    </row>
    <row r="15">
      <c r="A15" s="30" t="inlineStr">
        <is>
          <t>Overall test evidence result</t>
        </is>
      </c>
      <c r="B15" s="30" t="inlineStr">
        <is>
          <t>PASS</t>
        </is>
      </c>
      <c r="C15" s="30" t="inlineStr"/>
      <c r="D15" s="30" t="inlineStr"/>
      <c r="E15" s="30" t="inlineStr"/>
      <c r="F15" s="30" t="inlineStr"/>
      <c r="G15" s="30" t="inlineStr"/>
    </row>
    <row r="16">
      <c r="A16" s="30" t="inlineStr"/>
      <c r="B16" s="30" t="inlineStr"/>
      <c r="C16" s="30" t="inlineStr"/>
      <c r="D16" s="30" t="inlineStr"/>
      <c r="E16" s="30" t="inlineStr"/>
      <c r="F16" s="30" t="inlineStr"/>
      <c r="G16" s="30" t="inlineStr"/>
    </row>
    <row r="17">
      <c r="A17" s="31" t="inlineStr">
        <is>
          <t>Report File</t>
        </is>
      </c>
      <c r="B17" s="31" t="inlineStr">
        <is>
          <t>Suite</t>
        </is>
      </c>
      <c r="C17" s="31" t="inlineStr">
        <is>
          <t>Tests</t>
        </is>
      </c>
      <c r="D17" s="31" t="inlineStr">
        <is>
          <t>Failures</t>
        </is>
      </c>
      <c r="E17" s="31" t="inlineStr">
        <is>
          <t>Errors</t>
        </is>
      </c>
      <c r="F17" s="31" t="inlineStr">
        <is>
          <t>Skipped</t>
        </is>
      </c>
      <c r="G17" s="31" t="inlineStr">
        <is>
          <t>Result</t>
        </is>
      </c>
    </row>
    <row r="18">
      <c r="A18" s="30" t="inlineStr">
        <is>
          <t>vendnet/target/surefire-reports/TEST-pt.isep.desofs.vendnet.AbuseCaseRegressionTest.xml</t>
        </is>
      </c>
      <c r="B18" s="30" t="inlineStr">
        <is>
          <t>pt.isep.desofs.vendnet.AbuseCaseRegressionTest</t>
        </is>
      </c>
      <c r="C18" s="30" t="n">
        <v>12</v>
      </c>
      <c r="D18" s="30" t="n">
        <v>0</v>
      </c>
      <c r="E18" s="30" t="n">
        <v>0</v>
      </c>
      <c r="F18" s="30" t="n">
        <v>0</v>
      </c>
      <c r="G18" s="30" t="inlineStr">
        <is>
          <t>PASS</t>
        </is>
      </c>
    </row>
    <row r="19">
      <c r="A19" s="30" t="inlineStr">
        <is>
          <t>vendnet/target/surefire-reports/TEST-pt.isep.desofs.vendnet.AuthControllerIntegrationTest.xml</t>
        </is>
      </c>
      <c r="B19" s="30" t="inlineStr">
        <is>
          <t>pt.isep.desofs.vendnet.AuthControllerIntegrationTest</t>
        </is>
      </c>
      <c r="C19" s="30" t="n">
        <v>7</v>
      </c>
      <c r="D19" s="30" t="n">
        <v>0</v>
      </c>
      <c r="E19" s="30" t="n">
        <v>0</v>
      </c>
      <c r="F19" s="30" t="n">
        <v>0</v>
      </c>
      <c r="G19" s="30" t="inlineStr">
        <is>
          <t>PASS</t>
        </is>
      </c>
    </row>
    <row r="20">
      <c r="A20" s="30" t="inlineStr">
        <is>
          <t>vendnet/target/surefire-reports/TEST-pt.isep.desofs.vendnet.ControllerIntegrationTests.xml</t>
        </is>
      </c>
      <c r="B20" s="30" t="inlineStr">
        <is>
          <t>pt.isep.desofs.vendnet.ControllerIntegrationTests</t>
        </is>
      </c>
      <c r="C20" s="30" t="n">
        <v>18</v>
      </c>
      <c r="D20" s="30" t="n">
        <v>0</v>
      </c>
      <c r="E20" s="30" t="n">
        <v>0</v>
      </c>
      <c r="F20" s="30" t="n">
        <v>0</v>
      </c>
      <c r="G20" s="30" t="inlineStr">
        <is>
          <t>PASS</t>
        </is>
      </c>
    </row>
    <row r="21">
      <c r="A21" s="30" t="inlineStr">
        <is>
          <t>vendnet/target/surefire-reports/TEST-pt.isep.desofs.vendnet.ControllerUnitTests.xml</t>
        </is>
      </c>
      <c r="B21" s="30" t="inlineStr">
        <is>
          <t>pt.isep.desofs.vendnet.ControllerUnitTests</t>
        </is>
      </c>
      <c r="C21" s="30" t="n">
        <v>18</v>
      </c>
      <c r="D21" s="30" t="n">
        <v>0</v>
      </c>
      <c r="E21" s="30" t="n">
        <v>0</v>
      </c>
      <c r="F21" s="30" t="n">
        <v>0</v>
      </c>
      <c r="G21" s="30" t="inlineStr">
        <is>
          <t>PASS</t>
        </is>
      </c>
    </row>
    <row r="22">
      <c r="A22" s="30" t="inlineStr">
        <is>
          <t>vendnet/target/surefire-reports/TEST-pt.isep.desofs.vendnet.IastIntegrationTest.xml</t>
        </is>
      </c>
      <c r="B22" s="30" t="inlineStr">
        <is>
          <t>pt.isep.desofs.vendnet.IastIntegrationTest</t>
        </is>
      </c>
      <c r="C22" s="30" t="n">
        <v>5</v>
      </c>
      <c r="D22" s="30" t="n">
        <v>0</v>
      </c>
      <c r="E22" s="30" t="n">
        <v>0</v>
      </c>
      <c r="F22" s="30" t="n">
        <v>0</v>
      </c>
      <c r="G22" s="30" t="inlineStr">
        <is>
          <t>PASS</t>
        </is>
      </c>
    </row>
    <row r="23">
      <c r="A23" s="30" t="inlineStr">
        <is>
          <t>vendnet/target/surefire-reports/TEST-pt.isep.desofs.vendnet.LayeredArchitectureTest.xml</t>
        </is>
      </c>
      <c r="B23" s="30" t="inlineStr">
        <is>
          <t>pt.isep.desofs.vendnet.LayeredArchitectureTest</t>
        </is>
      </c>
      <c r="C23" s="30" t="n">
        <v>8</v>
      </c>
      <c r="D23" s="30" t="n">
        <v>0</v>
      </c>
      <c r="E23" s="30" t="n">
        <v>0</v>
      </c>
      <c r="F23" s="30" t="n">
        <v>0</v>
      </c>
      <c r="G23" s="30" t="inlineStr">
        <is>
          <t>PASS</t>
        </is>
      </c>
    </row>
    <row r="24">
      <c r="A24" s="30" t="inlineStr">
        <is>
          <t>vendnet/target/surefire-reports/TEST-pt.isep.desofs.vendnet.RbacIntegrationTest.xml</t>
        </is>
      </c>
      <c r="B24" s="30" t="inlineStr">
        <is>
          <t>pt.isep.desofs.vendnet.RbacIntegrationTest</t>
        </is>
      </c>
      <c r="C24" s="30" t="n">
        <v>13</v>
      </c>
      <c r="D24" s="30" t="n">
        <v>0</v>
      </c>
      <c r="E24" s="30" t="n">
        <v>0</v>
      </c>
      <c r="F24" s="30" t="n">
        <v>0</v>
      </c>
      <c r="G24" s="30" t="inlineStr">
        <is>
          <t>PASS</t>
        </is>
      </c>
    </row>
    <row r="25">
      <c r="A25" s="30" t="inlineStr">
        <is>
          <t>vendnet/target/surefire-reports/TEST-pt.isep.desofs.vendnet.SecurityAnnotationArchTest.xml</t>
        </is>
      </c>
      <c r="B25" s="30" t="inlineStr">
        <is>
          <t>pt.isep.desofs.vendnet.SecurityAnnotationArchTest</t>
        </is>
      </c>
      <c r="C25" s="30" t="n">
        <v>1</v>
      </c>
      <c r="D25" s="30" t="n">
        <v>0</v>
      </c>
      <c r="E25" s="30" t="n">
        <v>0</v>
      </c>
      <c r="F25" s="30" t="n">
        <v>0</v>
      </c>
      <c r="G25" s="30" t="inlineStr">
        <is>
          <t>PASS</t>
        </is>
      </c>
    </row>
    <row r="26">
      <c r="A26" s="30" t="inlineStr">
        <is>
          <t>vendnet/target/surefire-reports/TEST-pt.isep.desofs.vendnet.SystemFunctionalTests.xml</t>
        </is>
      </c>
      <c r="B26" s="30" t="inlineStr">
        <is>
          <t>pt.isep.desofs.vendnet.SystemFunctionalTests</t>
        </is>
      </c>
      <c r="C26" s="30" t="n">
        <v>11</v>
      </c>
      <c r="D26" s="30" t="n">
        <v>0</v>
      </c>
      <c r="E26" s="30" t="n">
        <v>0</v>
      </c>
      <c r="F26" s="30" t="n">
        <v>0</v>
      </c>
      <c r="G26" s="30" t="inlineStr">
        <is>
          <t>PASS</t>
        </is>
      </c>
    </row>
    <row r="27">
      <c r="A27" s="30" t="inlineStr">
        <is>
          <t>vendnet/target/surefire-reports/TEST-pt.isep.desofs.vendnet.VendnetApplicationTests.xml</t>
        </is>
      </c>
      <c r="B27" s="30" t="inlineStr">
        <is>
          <t>pt.isep.desofs.vendnet.VendnetApplicationTests</t>
        </is>
      </c>
      <c r="C27" s="30" t="n">
        <v>1</v>
      </c>
      <c r="D27" s="30" t="n">
        <v>0</v>
      </c>
      <c r="E27" s="30" t="n">
        <v>0</v>
      </c>
      <c r="F27" s="30" t="n">
        <v>0</v>
      </c>
      <c r="G27" s="30" t="inlineStr">
        <is>
          <t>PASS</t>
        </is>
      </c>
    </row>
    <row r="28">
      <c r="A28" s="30" t="inlineStr">
        <is>
          <t>vendnet/target/surefire-reports/TEST-pt.isep.desofs.vendnet.api.controller.ControllerUnitTests.xml</t>
        </is>
      </c>
      <c r="B28" s="30" t="inlineStr">
        <is>
          <t>pt.isep.desofs.vendnet.api.controller.ControllerUnitTests</t>
        </is>
      </c>
      <c r="C28" s="30" t="n">
        <v>9</v>
      </c>
      <c r="D28" s="30" t="n">
        <v>0</v>
      </c>
      <c r="E28" s="30" t="n">
        <v>0</v>
      </c>
      <c r="F28" s="30" t="n">
        <v>0</v>
      </c>
      <c r="G28" s="30" t="inlineStr">
        <is>
          <t>PASS</t>
        </is>
      </c>
    </row>
    <row r="29">
      <c r="A29" s="30" t="inlineStr">
        <is>
          <t>vendnet/target/surefire-reports/TEST-pt.isep.desofs.vendnet.api.controller.GlobalExceptionHandlerTest.xml</t>
        </is>
      </c>
      <c r="B29" s="30" t="inlineStr">
        <is>
          <t>pt.isep.desofs.vendnet.api.controller.GlobalExceptionHandlerTest</t>
        </is>
      </c>
      <c r="C29" s="30" t="n">
        <v>12</v>
      </c>
      <c r="D29" s="30" t="n">
        <v>0</v>
      </c>
      <c r="E29" s="30" t="n">
        <v>0</v>
      </c>
      <c r="F29" s="30" t="n">
        <v>0</v>
      </c>
      <c r="G29" s="30" t="inlineStr">
        <is>
          <t>PASS</t>
        </is>
      </c>
    </row>
    <row r="30">
      <c r="A30" s="30" t="inlineStr">
        <is>
          <t>vendnet/target/surefire-reports/TEST-pt.isep.desofs.vendnet.api.controller.MoreControllerUnitTests.xml</t>
        </is>
      </c>
      <c r="B30" s="30" t="inlineStr">
        <is>
          <t>pt.isep.desofs.vendnet.api.controller.MoreControllerUnitTests</t>
        </is>
      </c>
      <c r="C30" s="30" t="n">
        <v>17</v>
      </c>
      <c r="D30" s="30" t="n">
        <v>0</v>
      </c>
      <c r="E30" s="30" t="n">
        <v>0</v>
      </c>
      <c r="F30" s="30" t="n">
        <v>0</v>
      </c>
      <c r="G30" s="30" t="inlineStr">
        <is>
          <t>PASS</t>
        </is>
      </c>
    </row>
    <row r="31">
      <c r="A31" s="30" t="inlineStr">
        <is>
          <t>vendnet/target/surefire-reports/TEST-pt.isep.desofs.vendnet.api.dto.DtoTests.xml</t>
        </is>
      </c>
      <c r="B31" s="30" t="inlineStr">
        <is>
          <t>pt.isep.desofs.vendnet.api.dto.DtoTests</t>
        </is>
      </c>
      <c r="C31" s="30" t="n">
        <v>22</v>
      </c>
      <c r="D31" s="30" t="n">
        <v>0</v>
      </c>
      <c r="E31" s="30" t="n">
        <v>0</v>
      </c>
      <c r="F31" s="30" t="n">
        <v>0</v>
      </c>
      <c r="G31" s="30" t="inlineStr">
        <is>
          <t>PASS</t>
        </is>
      </c>
    </row>
    <row r="32">
      <c r="A32" s="30" t="inlineStr">
        <is>
          <t>vendnet/target/surefire-reports/TEST-pt.isep.desofs.vendnet.api.view.ApiErrorTest.xml</t>
        </is>
      </c>
      <c r="B32" s="30" t="inlineStr">
        <is>
          <t>pt.isep.desofs.vendnet.api.view.ApiErrorTest</t>
        </is>
      </c>
      <c r="C32" s="30" t="n">
        <v>4</v>
      </c>
      <c r="D32" s="30" t="n">
        <v>0</v>
      </c>
      <c r="E32" s="30" t="n">
        <v>0</v>
      </c>
      <c r="F32" s="30" t="n">
        <v>0</v>
      </c>
      <c r="G32" s="30" t="inlineStr">
        <is>
          <t>PASS</t>
        </is>
      </c>
    </row>
    <row r="33">
      <c r="A33" s="30" t="inlineStr">
        <is>
          <t>vendnet/target/surefire-reports/TEST-pt.isep.desofs.vendnet.application.service.AuthServiceTest.xml</t>
        </is>
      </c>
      <c r="B33" s="30" t="inlineStr">
        <is>
          <t>pt.isep.desofs.vendnet.application.service.AuthServiceTest</t>
        </is>
      </c>
      <c r="C33" s="30" t="n">
        <v>19</v>
      </c>
      <c r="D33" s="30" t="n">
        <v>0</v>
      </c>
      <c r="E33" s="30" t="n">
        <v>0</v>
      </c>
      <c r="F33" s="30" t="n">
        <v>0</v>
      </c>
      <c r="G33" s="30" t="inlineStr">
        <is>
          <t>PASS</t>
        </is>
      </c>
    </row>
    <row r="34">
      <c r="A34" s="30" t="inlineStr">
        <is>
          <t>vendnet/target/surefire-reports/TEST-pt.isep.desofs.vendnet.application.service.BootstrapServiceTest.xml</t>
        </is>
      </c>
      <c r="B34" s="30" t="inlineStr">
        <is>
          <t>pt.isep.desofs.vendnet.application.service.BootstrapServiceTest</t>
        </is>
      </c>
      <c r="C34" s="30" t="n">
        <v>2</v>
      </c>
      <c r="D34" s="30" t="n">
        <v>0</v>
      </c>
      <c r="E34" s="30" t="n">
        <v>0</v>
      </c>
      <c r="F34" s="30" t="n">
        <v>0</v>
      </c>
      <c r="G34" s="30" t="inlineStr">
        <is>
          <t>PASS</t>
        </is>
      </c>
    </row>
    <row r="35">
      <c r="A35" s="30" t="inlineStr">
        <is>
          <t>vendnet/target/surefire-reports/TEST-pt.isep.desofs.vendnet.application.service.JwtServiceTest.xml</t>
        </is>
      </c>
      <c r="B35" s="30" t="inlineStr">
        <is>
          <t>pt.isep.desofs.vendnet.application.service.JwtServiceTest</t>
        </is>
      </c>
      <c r="C35" s="30" t="n">
        <v>18</v>
      </c>
      <c r="D35" s="30" t="n">
        <v>0</v>
      </c>
      <c r="E35" s="30" t="n">
        <v>0</v>
      </c>
      <c r="F35" s="30" t="n">
        <v>0</v>
      </c>
      <c r="G35" s="30" t="inlineStr">
        <is>
          <t>PASS</t>
        </is>
      </c>
    </row>
    <row r="36">
      <c r="A36" s="30" t="inlineStr">
        <is>
          <t>vendnet/target/surefire-reports/TEST-pt.isep.desofs.vendnet.application.service.MachineServiceTest.xml</t>
        </is>
      </c>
      <c r="B36" s="30" t="inlineStr">
        <is>
          <t>pt.isep.desofs.vendnet.application.service.MachineServiceTest</t>
        </is>
      </c>
      <c r="C36" s="30" t="n">
        <v>9</v>
      </c>
      <c r="D36" s="30" t="n">
        <v>0</v>
      </c>
      <c r="E36" s="30" t="n">
        <v>0</v>
      </c>
      <c r="F36" s="30" t="n">
        <v>0</v>
      </c>
      <c r="G36" s="30" t="inlineStr">
        <is>
          <t>PASS</t>
        </is>
      </c>
    </row>
    <row r="37">
      <c r="A37" s="30" t="inlineStr">
        <is>
          <t>vendnet/target/surefire-reports/TEST-pt.isep.desofs.vendnet.application.service.ProductServiceTest.xml</t>
        </is>
      </c>
      <c r="B37" s="30" t="inlineStr">
        <is>
          <t>pt.isep.desofs.vendnet.application.service.ProductServiceTest</t>
        </is>
      </c>
      <c r="C37" s="30" t="n">
        <v>8</v>
      </c>
      <c r="D37" s="30" t="n">
        <v>0</v>
      </c>
      <c r="E37" s="30" t="n">
        <v>0</v>
      </c>
      <c r="F37" s="30" t="n">
        <v>0</v>
      </c>
      <c r="G37" s="30" t="inlineStr">
        <is>
          <t>PASS</t>
        </is>
      </c>
    </row>
    <row r="38">
      <c r="A38" s="30" t="inlineStr">
        <is>
          <t>vendnet/target/surefire-reports/TEST-pt.isep.desofs.vendnet.application.service.SaleServiceTest.xml</t>
        </is>
      </c>
      <c r="B38" s="30" t="inlineStr">
        <is>
          <t>pt.isep.desofs.vendnet.application.service.SaleServiceTest</t>
        </is>
      </c>
      <c r="C38" s="30" t="n">
        <v>9</v>
      </c>
      <c r="D38" s="30" t="n">
        <v>0</v>
      </c>
      <c r="E38" s="30" t="n">
        <v>0</v>
      </c>
      <c r="F38" s="30" t="n">
        <v>0</v>
      </c>
      <c r="G38" s="30" t="inlineStr">
        <is>
          <t>PASS</t>
        </is>
      </c>
    </row>
    <row r="39">
      <c r="A39" s="30" t="inlineStr">
        <is>
          <t>vendnet/target/surefire-reports/TEST-pt.isep.desofs.vendnet.application.service.SlotServiceTest.xml</t>
        </is>
      </c>
      <c r="B39" s="30" t="inlineStr">
        <is>
          <t>pt.isep.desofs.vendnet.application.service.SlotServiceTest</t>
        </is>
      </c>
      <c r="C39" s="30" t="n">
        <v>7</v>
      </c>
      <c r="D39" s="30" t="n">
        <v>0</v>
      </c>
      <c r="E39" s="30" t="n">
        <v>0</v>
      </c>
      <c r="F39" s="30" t="n">
        <v>0</v>
      </c>
      <c r="G39" s="30" t="inlineStr">
        <is>
          <t>PASS</t>
        </is>
      </c>
    </row>
    <row r="40">
      <c r="A40" s="30" t="inlineStr">
        <is>
          <t>vendnet/target/surefire-reports/TEST-pt.isep.desofs.vendnet.application.service.TelemetryServiceTest.xml</t>
        </is>
      </c>
      <c r="B40" s="30" t="inlineStr">
        <is>
          <t>pt.isep.desofs.vendnet.application.service.TelemetryServiceTest</t>
        </is>
      </c>
      <c r="C40" s="30" t="n">
        <v>4</v>
      </c>
      <c r="D40" s="30" t="n">
        <v>0</v>
      </c>
      <c r="E40" s="30" t="n">
        <v>0</v>
      </c>
      <c r="F40" s="30" t="n">
        <v>0</v>
      </c>
      <c r="G40" s="30" t="inlineStr">
        <is>
          <t>PASS</t>
        </is>
      </c>
    </row>
    <row r="41">
      <c r="A41" s="30" t="inlineStr">
        <is>
          <t>vendnet/target/surefire-reports/TEST-pt.isep.desofs.vendnet.application.service.UserManagementServiceTest.xml</t>
        </is>
      </c>
      <c r="B41" s="30" t="inlineStr">
        <is>
          <t>pt.isep.desofs.vendnet.application.service.UserManagementServiceTest</t>
        </is>
      </c>
      <c r="C41" s="30" t="n">
        <v>8</v>
      </c>
      <c r="D41" s="30" t="n">
        <v>0</v>
      </c>
      <c r="E41" s="30" t="n">
        <v>0</v>
      </c>
      <c r="F41" s="30" t="n">
        <v>0</v>
      </c>
      <c r="G41" s="30" t="inlineStr">
        <is>
          <t>PASS</t>
        </is>
      </c>
    </row>
    <row r="42">
      <c r="A42" s="30" t="inlineStr">
        <is>
          <t>vendnet/target/surefire-reports/TEST-pt.isep.desofs.vendnet.architecture.LayeredArchitectureArchTest.xml</t>
        </is>
      </c>
      <c r="B42" s="30" t="inlineStr">
        <is>
          <t>pt.isep.desofs.vendnet.architecture.LayeredArchitectureArchTest</t>
        </is>
      </c>
      <c r="C42" s="30" t="n">
        <v>8</v>
      </c>
      <c r="D42" s="30" t="n">
        <v>0</v>
      </c>
      <c r="E42" s="30" t="n">
        <v>0</v>
      </c>
      <c r="F42" s="30" t="n">
        <v>0</v>
      </c>
      <c r="G42" s="30" t="inlineStr">
        <is>
          <t>PASS</t>
        </is>
      </c>
    </row>
    <row r="43">
      <c r="A43" s="30" t="inlineStr">
        <is>
          <t>vendnet/target/surefire-reports/TEST-pt.isep.desofs.vendnet.architecture.NamingConventionArchTest.xml</t>
        </is>
      </c>
      <c r="B43" s="30" t="inlineStr">
        <is>
          <t>pt.isep.desofs.vendnet.architecture.NamingConventionArchTest</t>
        </is>
      </c>
      <c r="C43" s="30" t="n">
        <v>5</v>
      </c>
      <c r="D43" s="30" t="n">
        <v>0</v>
      </c>
      <c r="E43" s="30" t="n">
        <v>0</v>
      </c>
      <c r="F43" s="30" t="n">
        <v>0</v>
      </c>
      <c r="G43" s="30" t="inlineStr">
        <is>
          <t>PASS</t>
        </is>
      </c>
    </row>
    <row r="44">
      <c r="A44" s="30" t="inlineStr">
        <is>
          <t>vendnet/target/surefire-reports/TEST-pt.isep.desofs.vendnet.config.BootstrapHealthIndicatorTest.xml</t>
        </is>
      </c>
      <c r="B44" s="30" t="inlineStr">
        <is>
          <t>pt.isep.desofs.vendnet.config.BootstrapHealthIndicatorTest</t>
        </is>
      </c>
      <c r="C44" s="30" t="n">
        <v>2</v>
      </c>
      <c r="D44" s="30" t="n">
        <v>0</v>
      </c>
      <c r="E44" s="30" t="n">
        <v>0</v>
      </c>
      <c r="F44" s="30" t="n">
        <v>0</v>
      </c>
      <c r="G44" s="30" t="inlineStr">
        <is>
          <t>PASS</t>
        </is>
      </c>
    </row>
    <row r="45">
      <c r="A45" s="30" t="inlineStr">
        <is>
          <t>vendnet/target/surefire-reports/TEST-pt.isep.desofs.vendnet.config.BootstrapReadyIndicatorTest.xml</t>
        </is>
      </c>
      <c r="B45" s="30" t="inlineStr">
        <is>
          <t>pt.isep.desofs.vendnet.config.BootstrapReadyIndicatorTest</t>
        </is>
      </c>
      <c r="C45" s="30" t="n">
        <v>3</v>
      </c>
      <c r="D45" s="30" t="n">
        <v>0</v>
      </c>
      <c r="E45" s="30" t="n">
        <v>0</v>
      </c>
      <c r="F45" s="30" t="n">
        <v>0</v>
      </c>
      <c r="G45" s="30" t="inlineStr">
        <is>
          <t>PASS</t>
        </is>
      </c>
    </row>
    <row r="46">
      <c r="A46" s="30" t="inlineStr">
        <is>
          <t>vendnet/target/surefire-reports/TEST-pt.isep.desofs.vendnet.domain.exception.ExceptionTest.xml</t>
        </is>
      </c>
      <c r="B46" s="30" t="inlineStr">
        <is>
          <t>pt.isep.desofs.vendnet.domain.exception.ExceptionTest</t>
        </is>
      </c>
      <c r="C46" s="30" t="n">
        <v>3</v>
      </c>
      <c r="D46" s="30" t="n">
        <v>0</v>
      </c>
      <c r="E46" s="30" t="n">
        <v>0</v>
      </c>
      <c r="F46" s="30" t="n">
        <v>0</v>
      </c>
      <c r="G46" s="30" t="inlineStr">
        <is>
          <t>PASS</t>
        </is>
      </c>
    </row>
    <row r="47">
      <c r="A47" s="30" t="inlineStr">
        <is>
          <t>vendnet/target/surefire-reports/TEST-pt.isep.desofs.vendnet.domain.model.audit.AuditLogTest.xml</t>
        </is>
      </c>
      <c r="B47" s="30" t="inlineStr">
        <is>
          <t>pt.isep.desofs.vendnet.domain.model.audit.AuditLogTest</t>
        </is>
      </c>
      <c r="C47" s="30" t="n">
        <v>4</v>
      </c>
      <c r="D47" s="30" t="n">
        <v>0</v>
      </c>
      <c r="E47" s="30" t="n">
        <v>0</v>
      </c>
      <c r="F47" s="30" t="n">
        <v>0</v>
      </c>
      <c r="G47" s="30" t="inlineStr">
        <is>
          <t>PASS</t>
        </is>
      </c>
    </row>
    <row r="48">
      <c r="A48" s="30" t="inlineStr">
        <is>
          <t>vendnet/target/surefire-reports/TEST-pt.isep.desofs.vendnet.domain.model.machine.VendingMachineTest.xml</t>
        </is>
      </c>
      <c r="B48" s="30" t="inlineStr">
        <is>
          <t>pt.isep.desofs.vendnet.domain.model.machine.VendingMachineTest</t>
        </is>
      </c>
      <c r="C48" s="30" t="n">
        <v>5</v>
      </c>
      <c r="D48" s="30" t="n">
        <v>0</v>
      </c>
      <c r="E48" s="30" t="n">
        <v>0</v>
      </c>
      <c r="F48" s="30" t="n">
        <v>0</v>
      </c>
      <c r="G48" s="30" t="inlineStr">
        <is>
          <t>PASS</t>
        </is>
      </c>
    </row>
    <row r="49">
      <c r="A49" s="30" t="inlineStr">
        <is>
          <t>vendnet/target/surefire-reports/TEST-pt.isep.desofs.vendnet.domain.model.product.PaymentInfoTest.xml</t>
        </is>
      </c>
      <c r="B49" s="30" t="inlineStr">
        <is>
          <t>pt.isep.desofs.vendnet.domain.model.product.PaymentInfoTest</t>
        </is>
      </c>
      <c r="C49" s="30" t="n">
        <v>5</v>
      </c>
      <c r="D49" s="30" t="n">
        <v>0</v>
      </c>
      <c r="E49" s="30" t="n">
        <v>0</v>
      </c>
      <c r="F49" s="30" t="n">
        <v>0</v>
      </c>
      <c r="G49" s="30" t="inlineStr">
        <is>
          <t>PASS</t>
        </is>
      </c>
    </row>
    <row r="50">
      <c r="A50" s="30" t="inlineStr">
        <is>
          <t>vendnet/target/surefire-reports/TEST-pt.isep.desofs.vendnet.domain.model.product.ProductTest.xml</t>
        </is>
      </c>
      <c r="B50" s="30" t="inlineStr">
        <is>
          <t>pt.isep.desofs.vendnet.domain.model.product.ProductTest</t>
        </is>
      </c>
      <c r="C50" s="30" t="n">
        <v>5</v>
      </c>
      <c r="D50" s="30" t="n">
        <v>0</v>
      </c>
      <c r="E50" s="30" t="n">
        <v>0</v>
      </c>
      <c r="F50" s="30" t="n">
        <v>0</v>
      </c>
      <c r="G50" s="30" t="inlineStr">
        <is>
          <t>PASS</t>
        </is>
      </c>
    </row>
    <row r="51">
      <c r="A51" s="30" t="inlineStr">
        <is>
          <t>vendnet/target/surefire-reports/TEST-pt.isep.desofs.vendnet.domain.model.sale.SaleTest.xml</t>
        </is>
      </c>
      <c r="B51" s="30" t="inlineStr">
        <is>
          <t>pt.isep.desofs.vendnet.domain.model.sale.SaleTest</t>
        </is>
      </c>
      <c r="C51" s="30" t="n">
        <v>4</v>
      </c>
      <c r="D51" s="30" t="n">
        <v>0</v>
      </c>
      <c r="E51" s="30" t="n">
        <v>0</v>
      </c>
      <c r="F51" s="30" t="n">
        <v>0</v>
      </c>
      <c r="G51" s="30" t="inlineStr">
        <is>
          <t>PASS</t>
        </is>
      </c>
    </row>
    <row r="52">
      <c r="A52" s="30" t="inlineStr">
        <is>
          <t>vendnet/target/surefire-reports/TEST-pt.isep.desofs.vendnet.domain.model.slot.SlotTest.xml</t>
        </is>
      </c>
      <c r="B52" s="30" t="inlineStr">
        <is>
          <t>pt.isep.desofs.vendnet.domain.model.slot.SlotTest</t>
        </is>
      </c>
      <c r="C52" s="30" t="n">
        <v>4</v>
      </c>
      <c r="D52" s="30" t="n">
        <v>0</v>
      </c>
      <c r="E52" s="30" t="n">
        <v>0</v>
      </c>
      <c r="F52" s="30" t="n">
        <v>0</v>
      </c>
      <c r="G52" s="30" t="inlineStr">
        <is>
          <t>PASS</t>
        </is>
      </c>
    </row>
    <row r="53">
      <c r="A53" s="30" t="inlineStr">
        <is>
          <t>vendnet/target/surefire-reports/TEST-pt.isep.desofs.vendnet.domain.model.telemetry.MachineTelemetryTest.xml</t>
        </is>
      </c>
      <c r="B53" s="30" t="inlineStr">
        <is>
          <t>pt.isep.desofs.vendnet.domain.model.telemetry.MachineTelemetryTest</t>
        </is>
      </c>
      <c r="C53" s="30" t="n">
        <v>4</v>
      </c>
      <c r="D53" s="30" t="n">
        <v>0</v>
      </c>
      <c r="E53" s="30" t="n">
        <v>0</v>
      </c>
      <c r="F53" s="30" t="n">
        <v>0</v>
      </c>
      <c r="G53" s="30" t="inlineStr">
        <is>
          <t>PASS</t>
        </is>
      </c>
    </row>
    <row r="54">
      <c r="A54" s="30" t="inlineStr">
        <is>
          <t>vendnet/target/surefire-reports/TEST-pt.isep.desofs.vendnet.domain.model.user.UserTest.xml</t>
        </is>
      </c>
      <c r="B54" s="30" t="inlineStr">
        <is>
          <t>pt.isep.desofs.vendnet.domain.model.user.UserTest</t>
        </is>
      </c>
      <c r="C54" s="30" t="n">
        <v>6</v>
      </c>
      <c r="D54" s="30" t="n">
        <v>0</v>
      </c>
      <c r="E54" s="30" t="n">
        <v>0</v>
      </c>
      <c r="F54" s="30" t="n">
        <v>0</v>
      </c>
      <c r="G54" s="30" t="inlineStr">
        <is>
          <t>PASS</t>
        </is>
      </c>
    </row>
    <row r="55">
      <c r="A55" s="30" t="inlineStr">
        <is>
          <t>vendnet/target/surefire-reports/TEST-pt.isep.desofs.vendnet.infrastructure.file.ExifStripperTest.xml</t>
        </is>
      </c>
      <c r="B55" s="30" t="inlineStr">
        <is>
          <t>pt.isep.desofs.vendnet.infrastructure.file.ExifStripperTest</t>
        </is>
      </c>
      <c r="C55" s="30" t="n">
        <v>3</v>
      </c>
      <c r="D55" s="30" t="n">
        <v>0</v>
      </c>
      <c r="E55" s="30" t="n">
        <v>0</v>
      </c>
      <c r="F55" s="30" t="n">
        <v>0</v>
      </c>
      <c r="G55" s="30" t="inlineStr">
        <is>
          <t>PASS</t>
        </is>
      </c>
    </row>
    <row r="56">
      <c r="A56" s="30" t="inlineStr">
        <is>
          <t>vendnet/target/surefire-reports/TEST-pt.isep.desofs.vendnet.infrastructure.file.FileValidationServiceImplFileTest.xml</t>
        </is>
      </c>
      <c r="B56" s="30" t="inlineStr">
        <is>
          <t>pt.isep.desofs.vendnet.infrastructure.file.FileValidationServiceImplFileTest</t>
        </is>
      </c>
      <c r="C56" s="30" t="n">
        <v>5</v>
      </c>
      <c r="D56" s="30" t="n">
        <v>0</v>
      </c>
      <c r="E56" s="30" t="n">
        <v>0</v>
      </c>
      <c r="F56" s="30" t="n">
        <v>0</v>
      </c>
      <c r="G56" s="30" t="inlineStr">
        <is>
          <t>PASS</t>
        </is>
      </c>
    </row>
    <row r="57">
      <c r="A57" s="30" t="inlineStr">
        <is>
          <t>vendnet/target/surefire-reports/TEST-pt.isep.desofs.vendnet.infrastructure.file.FileValidationServiceImplTest.xml</t>
        </is>
      </c>
      <c r="B57" s="30" t="inlineStr">
        <is>
          <t>pt.isep.desofs.vendnet.infrastructure.file.FileValidationServiceImplTest</t>
        </is>
      </c>
      <c r="C57" s="30" t="n">
        <v>14</v>
      </c>
      <c r="D57" s="30" t="n">
        <v>0</v>
      </c>
      <c r="E57" s="30" t="n">
        <v>0</v>
      </c>
      <c r="F57" s="30" t="n">
        <v>0</v>
      </c>
      <c r="G57" s="30" t="inlineStr">
        <is>
          <t>PASS</t>
        </is>
      </c>
    </row>
    <row r="58">
      <c r="A58" s="30" t="inlineStr">
        <is>
          <t>vendnet/target/surefire-reports/TEST-pt.isep.desofs.vendnet.infrastructure.logging.AuditLoggerTest.xml</t>
        </is>
      </c>
      <c r="B58" s="30" t="inlineStr">
        <is>
          <t>pt.isep.desofs.vendnet.infrastructure.logging.AuditLoggerTest</t>
        </is>
      </c>
      <c r="C58" s="30" t="n">
        <v>3</v>
      </c>
      <c r="D58" s="30" t="n">
        <v>0</v>
      </c>
      <c r="E58" s="30" t="n">
        <v>0</v>
      </c>
      <c r="F58" s="30" t="n">
        <v>0</v>
      </c>
      <c r="G58" s="30" t="inlineStr">
        <is>
          <t>PASS</t>
        </is>
      </c>
    </row>
    <row r="59">
      <c r="A59" s="30" t="inlineStr">
        <is>
          <t>vendnet/target/surefire-reports/TEST-pt.isep.desofs.vendnet.infrastructure.os.PathValidatorImplTest.xml</t>
        </is>
      </c>
      <c r="B59" s="30" t="inlineStr">
        <is>
          <t>pt.isep.desofs.vendnet.infrastructure.os.PathValidatorImplTest</t>
        </is>
      </c>
      <c r="C59" s="30" t="n">
        <v>5</v>
      </c>
      <c r="D59" s="30" t="n">
        <v>0</v>
      </c>
      <c r="E59" s="30" t="n">
        <v>0</v>
      </c>
      <c r="F59" s="30" t="n">
        <v>0</v>
      </c>
      <c r="G59" s="30" t="inlineStr">
        <is>
          <t>PASS</t>
        </is>
      </c>
    </row>
    <row r="60">
      <c r="A60" s="30" t="inlineStr">
        <is>
          <t>vendnet/target/surefire-reports/TEST-pt.isep.desofs.vendnet.infrastructure.os.ReportDirectoryServiceImplTest.xml</t>
        </is>
      </c>
      <c r="B60" s="30" t="inlineStr">
        <is>
          <t>pt.isep.desofs.vendnet.infrastructure.os.ReportDirectoryServiceImplTest</t>
        </is>
      </c>
      <c r="C60" s="30" t="n">
        <v>5</v>
      </c>
      <c r="D60" s="30" t="n">
        <v>0</v>
      </c>
      <c r="E60" s="30" t="n">
        <v>0</v>
      </c>
      <c r="F60" s="30" t="n">
        <v>0</v>
      </c>
      <c r="G60" s="30" t="inlineStr">
        <is>
          <t>PASS</t>
        </is>
      </c>
    </row>
    <row r="61">
      <c r="A61" s="30" t="inlineStr">
        <is>
          <t>vendnet/target/surefire-reports/TEST-pt.isep.desofs.vendnet.infrastructure.payment.PaymentGatewayServiceImplTest.xml</t>
        </is>
      </c>
      <c r="B61" s="30" t="inlineStr">
        <is>
          <t>pt.isep.desofs.vendnet.infrastructure.payment.PaymentGatewayServiceImplTest</t>
        </is>
      </c>
      <c r="C61" s="30" t="n">
        <v>8</v>
      </c>
      <c r="D61" s="30" t="n">
        <v>0</v>
      </c>
      <c r="E61" s="30" t="n">
        <v>0</v>
      </c>
      <c r="F61" s="30" t="n">
        <v>0</v>
      </c>
      <c r="G61" s="30" t="inlineStr">
        <is>
          <t>PASS</t>
        </is>
      </c>
    </row>
    <row r="62">
      <c r="A62" s="30" t="inlineStr">
        <is>
          <t>vendnet/target/surefire-reports/TEST-pt.isep.desofs.vendnet.infrastructure.security.CorrelationIdFilterTest.xml</t>
        </is>
      </c>
      <c r="B62" s="30" t="inlineStr">
        <is>
          <t>pt.isep.desofs.vendnet.infrastructure.security.CorrelationIdFilterTest</t>
        </is>
      </c>
      <c r="C62" s="30" t="n">
        <v>3</v>
      </c>
      <c r="D62" s="30" t="n">
        <v>0</v>
      </c>
      <c r="E62" s="30" t="n">
        <v>0</v>
      </c>
      <c r="F62" s="30" t="n">
        <v>0</v>
      </c>
      <c r="G62" s="30" t="inlineStr">
        <is>
          <t>PASS</t>
        </is>
      </c>
    </row>
    <row r="63">
      <c r="A63" s="30" t="inlineStr">
        <is>
          <t>vendnet/target/surefire-reports/TEST-pt.isep.desofs.vendnet.infrastructure.security.IastTaintTrackingFilterTest.xml</t>
        </is>
      </c>
      <c r="B63" s="30" t="inlineStr">
        <is>
          <t>pt.isep.desofs.vendnet.infrastructure.security.IastTaintTrackingFilterTest</t>
        </is>
      </c>
      <c r="C63" s="30" t="n">
        <v>6</v>
      </c>
      <c r="D63" s="30" t="n">
        <v>0</v>
      </c>
      <c r="E63" s="30" t="n">
        <v>0</v>
      </c>
      <c r="F63" s="30" t="n">
        <v>0</v>
      </c>
      <c r="G63" s="30" t="inlineStr">
        <is>
          <t>PASS</t>
        </is>
      </c>
    </row>
    <row r="64">
      <c r="A64" s="30" t="inlineStr">
        <is>
          <t>vendnet/target/surefire-reports/TEST-pt.isep.desofs.vendnet.infrastructure.security.JwtAuthenticationFilterTest.xml</t>
        </is>
      </c>
      <c r="B64" s="30" t="inlineStr">
        <is>
          <t>pt.isep.desofs.vendnet.infrastructure.security.JwtAuthenticationFilterTest</t>
        </is>
      </c>
      <c r="C64" s="30" t="n">
        <v>6</v>
      </c>
      <c r="D64" s="30" t="n">
        <v>0</v>
      </c>
      <c r="E64" s="30" t="n">
        <v>0</v>
      </c>
      <c r="F64" s="30" t="n">
        <v>0</v>
      </c>
      <c r="G64" s="30" t="inlineStr">
        <is>
          <t>PASS</t>
        </is>
      </c>
    </row>
    <row r="65">
      <c r="A65" s="30" t="inlineStr">
        <is>
          <t>vendnet/target/surefire-reports/TEST-pt.isep.desofs.vendnet.infrastructure.security.TaintAwareHttpServletResponseWrapperTest.xml</t>
        </is>
      </c>
      <c r="B65" s="30" t="inlineStr">
        <is>
          <t>pt.isep.desofs.vendnet.infrastructure.security.TaintAwareHttpServletResponseWrapperTest</t>
        </is>
      </c>
      <c r="C65" s="30" t="n">
        <v>5</v>
      </c>
      <c r="D65" s="30" t="n">
        <v>0</v>
      </c>
      <c r="E65" s="30" t="n">
        <v>0</v>
      </c>
      <c r="F65" s="30" t="n">
        <v>0</v>
      </c>
      <c r="G65" s="30" t="inlineStr">
        <is>
          <t>PASS</t>
        </is>
      </c>
    </row>
    <row r="66">
      <c r="A66" s="30" t="inlineStr">
        <is>
          <t>vendnet/target/surefire-reports/TEST-pt.isep.desofs.vendnet.infrastructure.security.X509MachineAuthenticationFilterTest.xml</t>
        </is>
      </c>
      <c r="B66" s="30" t="inlineStr">
        <is>
          <t>pt.isep.desofs.vendnet.infrastructure.security.X509MachineAuthenticationFilterTest</t>
        </is>
      </c>
      <c r="C66" s="30" t="n">
        <v>3</v>
      </c>
      <c r="D66" s="30" t="n">
        <v>0</v>
      </c>
      <c r="E66" s="30" t="n">
        <v>0</v>
      </c>
      <c r="F66" s="30" t="n">
        <v>0</v>
      </c>
      <c r="G66" s="30" t="inlineStr">
        <is>
          <t>PASS</t>
        </is>
      </c>
    </row>
    <row r="67">
      <c r="A67" s="30" t="inlineStr">
        <is>
          <t>vendnet/target/failsafe-reports/TEST-pt.isep.desofs.vendnet.AuthControllerIntegrationTest.xml</t>
        </is>
      </c>
      <c r="B67" s="30" t="inlineStr">
        <is>
          <t>pt.isep.desofs.vendnet.AuthControllerIntegrationTest</t>
        </is>
      </c>
      <c r="C67" s="30" t="n">
        <v>7</v>
      </c>
      <c r="D67" s="30" t="n">
        <v>0</v>
      </c>
      <c r="E67" s="30" t="n">
        <v>0</v>
      </c>
      <c r="F67" s="30" t="n">
        <v>0</v>
      </c>
      <c r="G67" s="30" t="inlineStr">
        <is>
          <t>PASS</t>
        </is>
      </c>
    </row>
    <row r="68">
      <c r="A68" s="30" t="inlineStr">
        <is>
          <t>vendnet/target/failsafe-reports/TEST-pt.isep.desofs.vendnet.IastIntegrationTest.xml</t>
        </is>
      </c>
      <c r="B68" s="30" t="inlineStr">
        <is>
          <t>pt.isep.desofs.vendnet.IastIntegrationTest</t>
        </is>
      </c>
      <c r="C68" s="30" t="n">
        <v>5</v>
      </c>
      <c r="D68" s="30" t="n">
        <v>0</v>
      </c>
      <c r="E68" s="30" t="n">
        <v>0</v>
      </c>
      <c r="F68" s="30" t="n">
        <v>0</v>
      </c>
      <c r="G68" s="30" t="inlineStr">
        <is>
          <t>PASS</t>
        </is>
      </c>
    </row>
    <row r="69">
      <c r="A69" s="30" t="inlineStr">
        <is>
          <t>vendnet/target/failsafe-reports/TEST-pt.isep.desofs.vendnet.RbacIntegrationTest.xml</t>
        </is>
      </c>
      <c r="B69" s="30" t="inlineStr">
        <is>
          <t>pt.isep.desofs.vendnet.RbacIntegrationTest</t>
        </is>
      </c>
      <c r="C69" s="30" t="n">
        <v>13</v>
      </c>
      <c r="D69" s="30" t="n">
        <v>0</v>
      </c>
      <c r="E69" s="30" t="n">
        <v>0</v>
      </c>
      <c r="F69" s="30" t="n">
        <v>0</v>
      </c>
      <c r="G69" s="30"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2026-03-04T10:14:28Z</dcterms:created>
  <dcterms:modified xmlns:dcterms="http://purl.org/dc/terms/" xmlns:xsi="http://www.w3.org/2001/XMLSchema-instance" xsi:type="dcterms:W3CDTF">2026-06-05T16:07:07Z</dcterms:modified>
  <cp:lastModifiedBy>Cândido Zoio</cp:lastModifiedBy>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