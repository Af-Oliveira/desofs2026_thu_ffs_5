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ário Zoio\OneDrive\Documentos\DSOFS\projeto_desofs\desofs2026_thu_ffs_5\Deliverables\Phase1\ASVS_Checklist\"/>
    </mc:Choice>
  </mc:AlternateContent>
  <xr:revisionPtr revIDLastSave="0" documentId="13_ncr:1_{1643BE52-8AEC-42D2-9FA7-5C35DA902BD4}" xr6:coauthVersionLast="47" xr6:coauthVersionMax="47" xr10:uidLastSave="{00000000-0000-0000-0000-000000000000}"/>
  <bookViews>
    <workbookView xWindow="-108" yWindow="-108" windowWidth="23256" windowHeight="12456"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externalReferences>
    <externalReference r:id="rId19"/>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E6" i="1" s="1"/>
  <c r="G6" i="1"/>
  <c r="H6" i="1" s="1"/>
  <c r="J6" i="1"/>
  <c r="K6" i="1"/>
  <c r="L6" i="1"/>
  <c r="L23" i="1" s="1"/>
  <c r="D7" i="1"/>
  <c r="E7" i="1" s="1"/>
  <c r="G7" i="1"/>
  <c r="H7" i="1" s="1"/>
  <c r="J7" i="1"/>
  <c r="K7" i="1"/>
  <c r="L7" i="1"/>
  <c r="M7" i="1" s="1"/>
  <c r="D8" i="1"/>
  <c r="E8" i="1" s="1"/>
  <c r="G8" i="1"/>
  <c r="H8" i="1" s="1"/>
  <c r="J8" i="1"/>
  <c r="K8" i="1"/>
  <c r="L8" i="1"/>
  <c r="M8" i="1" s="1"/>
  <c r="D9" i="1"/>
  <c r="E9" i="1" s="1"/>
  <c r="G9" i="1"/>
  <c r="H9" i="1" s="1"/>
  <c r="J9" i="1"/>
  <c r="K9" i="1"/>
  <c r="L9" i="1"/>
  <c r="M9" i="1" s="1"/>
  <c r="D10" i="1"/>
  <c r="E10" i="1" s="1"/>
  <c r="G10" i="1"/>
  <c r="H10" i="1" s="1"/>
  <c r="J10" i="1"/>
  <c r="K10" i="1"/>
  <c r="L10" i="1"/>
  <c r="M10" i="1" s="1"/>
  <c r="D11" i="1"/>
  <c r="E11" i="1" s="1"/>
  <c r="G11" i="1"/>
  <c r="H11" i="1" s="1"/>
  <c r="J11" i="1"/>
  <c r="K11" i="1"/>
  <c r="L11" i="1"/>
  <c r="M11" i="1" s="1"/>
  <c r="D12" i="1"/>
  <c r="E12" i="1" s="1"/>
  <c r="G12" i="1"/>
  <c r="H12" i="1" s="1"/>
  <c r="J12" i="1"/>
  <c r="K12" i="1"/>
  <c r="L12" i="1"/>
  <c r="M12" i="1" s="1"/>
  <c r="D13" i="1"/>
  <c r="E13" i="1" s="1"/>
  <c r="G13" i="1"/>
  <c r="H13" i="1" s="1"/>
  <c r="J13" i="1"/>
  <c r="K13" i="1"/>
  <c r="L13" i="1"/>
  <c r="M13" i="1" s="1"/>
  <c r="D14" i="1"/>
  <c r="E14" i="1" s="1"/>
  <c r="G14" i="1"/>
  <c r="H14" i="1" s="1"/>
  <c r="L14" i="1"/>
  <c r="M14" i="1"/>
  <c r="D15" i="1"/>
  <c r="D23" i="1" s="1"/>
  <c r="G15" i="1"/>
  <c r="H15" i="1" s="1"/>
  <c r="J15" i="1"/>
  <c r="K15" i="1" s="1"/>
  <c r="L15" i="1"/>
  <c r="M15" i="1"/>
  <c r="D16" i="1"/>
  <c r="E16" i="1" s="1"/>
  <c r="G16" i="1"/>
  <c r="H16" i="1" s="1"/>
  <c r="J16" i="1"/>
  <c r="K16" i="1" s="1"/>
  <c r="L16" i="1"/>
  <c r="M16" i="1"/>
  <c r="D17" i="1"/>
  <c r="E17" i="1" s="1"/>
  <c r="G17" i="1"/>
  <c r="H17" i="1" s="1"/>
  <c r="J17" i="1"/>
  <c r="K17" i="1" s="1"/>
  <c r="L17" i="1"/>
  <c r="M17" i="1"/>
  <c r="D18" i="1"/>
  <c r="E18" i="1" s="1"/>
  <c r="G18" i="1"/>
  <c r="H18" i="1" s="1"/>
  <c r="J18" i="1"/>
  <c r="K18" i="1" s="1"/>
  <c r="L18" i="1"/>
  <c r="M18" i="1"/>
  <c r="D19" i="1"/>
  <c r="E19" i="1" s="1"/>
  <c r="G19" i="1"/>
  <c r="H19" i="1" s="1"/>
  <c r="J19" i="1"/>
  <c r="K19" i="1" s="1"/>
  <c r="L19" i="1"/>
  <c r="M19" i="1"/>
  <c r="D20" i="1"/>
  <c r="E20" i="1" s="1"/>
  <c r="G20" i="1"/>
  <c r="H20" i="1" s="1"/>
  <c r="J20" i="1"/>
  <c r="K20" i="1" s="1"/>
  <c r="L20" i="1"/>
  <c r="M20" i="1"/>
  <c r="G21" i="1"/>
  <c r="H21" i="1" s="1"/>
  <c r="J21" i="1"/>
  <c r="K21" i="1" s="1"/>
  <c r="L21" i="1"/>
  <c r="M21" i="1" s="1"/>
  <c r="G22" i="1"/>
  <c r="H22" i="1"/>
  <c r="J22" i="1"/>
  <c r="K22" i="1" s="1"/>
  <c r="L22" i="1"/>
  <c r="M22" i="1" s="1"/>
  <c r="B23" i="1"/>
  <c r="C23" i="1"/>
  <c r="F23" i="1"/>
  <c r="I23" i="1"/>
  <c r="K23" i="1" l="1"/>
  <c r="H23" i="1"/>
  <c r="G23" i="1"/>
  <c r="E15" i="1"/>
  <c r="E23" i="1" s="1"/>
  <c r="M6" i="1"/>
  <c r="M23" i="1" s="1"/>
  <c r="J23" i="1"/>
</calcChain>
</file>

<file path=xl/sharedStrings.xml><?xml version="1.0" encoding="utf-8"?>
<sst xmlns="http://schemas.openxmlformats.org/spreadsheetml/2006/main" count="2749" uniqueCount="1330">
  <si>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</si>
  <si>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</si>
  <si>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</si>
  <si>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</si>
  <si>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</si>
  <si>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</si>
  <si>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</si>
  <si>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</si>
  <si>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</si>
  <si>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</si>
  <si>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</si>
  <si>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</si>
  <si>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</si>
  <si>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</si>
  <si>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</si>
  <si>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</si>
  <si>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</si>
  <si>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</si>
  <si>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</si>
  <si>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</si>
  <si>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</si>
  <si>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</si>
  <si>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</si>
  <si>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</si>
  <si>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</si>
  <si>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</si>
  <si>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</si>
  <si>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</si>
  <si>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</si>
  <si>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</si>
  <si>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</si>
  <si>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</si>
  <si>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</si>
  <si>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</si>
  <si>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</si>
  <si>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</si>
  <si>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</si>
  <si>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</si>
  <si>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</si>
  <si>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</si>
  <si>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</si>
  <si>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</si>
  <si>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</si>
  <si>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</si>
  <si>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</si>
  <si>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Planned</t>
  </si>
  <si>
    <t>Input is normalized and decoded once at API entry before validation and processing.</t>
  </si>
  <si>
    <t>SR-24, SR-25, SR-28, SR-29</t>
  </si>
  <si>
    <t>V1.1.2</t>
  </si>
  <si>
    <t>Verify that the application performs output encoding and escaping either as a final step before being used by the interpreter for which it is intended or by the interpreter itself.</t>
  </si>
  <si>
    <t>JSON responses are properly serialized without sensitive data</t>
  </si>
  <si>
    <t>SR-16</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</si>
  <si>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</si>
  <si>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</si>
  <si>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</si>
  <si>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</si>
  <si>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REST API returns JSON only, no HTML/XML rendering is performed</t>
  </si>
  <si>
    <t>V1.2.2</t>
  </si>
  <si>
    <t>Verify that when dynamically building URLs, untrusted data is encoded according to its context (e.g., URL encoding or base64url encoding for query or path parameters). Ensure that only safe URL protocols are permitted (e.g., disallow javascript: or data:).</t>
  </si>
  <si>
    <t>Path validation for reports</t>
  </si>
  <si>
    <t>SR-26</t>
  </si>
  <si>
    <t>V1.2.3</t>
  </si>
  <si>
    <t>Verify that output encoding or escaping is used when dynamically building JavaScript content (including JSON), to avoid changing the message or document structure (to avoid JavaScript and JSON injection).</t>
  </si>
  <si>
    <t>Application is REST API, no client-side JavaScript generation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</si>
  <si>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</si>
  <si>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</si>
  <si>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Compliant</t>
  </si>
  <si>
    <t>Parameterized queries using Hibernate JPQL (SR-09)</t>
  </si>
  <si>
    <t>SR-09</t>
  </si>
  <si>
    <t>V1.2.5</t>
  </si>
  <si>
    <t>Verify that the application protects against OS command injection and that operating system calls use parameterized OS queries or use contextual command line output encoding.</t>
  </si>
  <si>
    <t>ProcessBuilder with array initialization; no shell interpreter invoked</t>
  </si>
  <si>
    <t>V1.2.6</t>
  </si>
  <si>
    <t>Verify that the application protects against LDAP injection vulnerabilities, or that specific security controls to prevent LDAP injection have been implemented.</t>
  </si>
  <si>
    <t>No LDAP usage in application</t>
  </si>
  <si>
    <t>V1.2.7</t>
  </si>
  <si>
    <t>Verify that the application is protected against XPath injection attacks by using query parameterization or precompiled queries.</t>
  </si>
  <si>
    <t>No XPath usage in application</t>
  </si>
  <si>
    <t>V1.2.8</t>
  </si>
  <si>
    <t>Verify that LaTeX processors are configured securely (such as not using the "--shell-escape" flag) and an allowlist of commands is used to prevent LaTeX injection attacks.</t>
  </si>
  <si>
    <t>No LaTeX processing in application</t>
  </si>
  <si>
    <t>V1.2.9</t>
  </si>
  <si>
    <t>Verify that the application escapes special characters in regular expressions (typically using a backslash) to prevent them from being misinterpreted as metacharacters.</t>
  </si>
  <si>
    <t>Regex patterns are simple and validated to avoid unsafe constructs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</si>
  <si>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</si>
  <si>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</si>
  <si>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 export functionality</t>
  </si>
  <si>
    <t>V1.3</t>
  </si>
  <si>
    <t>Sanitization</t>
  </si>
  <si>
    <t>V1.3.1</t>
  </si>
  <si>
    <t>Verify that all untrusted HTML input from WYSIWYG editors or similar is sanitized using a well-known and secure HTML sanitization library or framework feature.</t>
  </si>
  <si>
    <t>No HTML input processing</t>
  </si>
  <si>
    <t>V1.3.2</t>
  </si>
  <si>
    <t>Verify that the application avoids the use of eval() or other dynamic code execution features such as Spring Expression Language (SpEL). Where there is no alternative, any user input being included must be sanitized before being executed.</t>
  </si>
  <si>
    <t>No use of eval() or dynamic code execution</t>
  </si>
  <si>
    <t>V1.3.3</t>
  </si>
  <si>
    <t>Verify that data being passed to a potentially dangerous context is sanitized beforehand to enforce safety measures, such as only allowing characters which are safe for this context and trimming input which is too long.</t>
  </si>
  <si>
    <t>All input is validated using strict schemas and size limits before being processed or stored</t>
  </si>
  <si>
    <t>SR-28, SR-30</t>
  </si>
  <si>
    <t>V1.3.4</t>
  </si>
  <si>
    <t>Verify that user-supplied Scalable Vector Graphics (SVG) scriptable content is validated or sanitized to contain only tags and attributes (such as draw graphics) that are safe for the application, e.g., do not contain scripts and foreignObject.</t>
  </si>
  <si>
    <t>No SVG processing</t>
  </si>
  <si>
    <t>V1.3.5</t>
  </si>
  <si>
    <t>Verify that the application sanitizes or disables user-supplied scriptable or expression template language content, such as Markdown, CSS or XSL stylesheets, BBCode, or similar.</t>
  </si>
  <si>
    <t>No template language processing</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</si>
  <si>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</si>
  <si>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</si>
  <si>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All outbound requests will be restricted to trusted domains using an allowlist</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</si>
  <si>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</si>
  <si>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</si>
  <si>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No dynamic template creation</t>
  </si>
  <si>
    <t>V1.3.8</t>
  </si>
  <si>
    <t>Verify that the application appropriately sanitizes untrusted input before use in Java Naming and Directory Interface (JNDI) queries and that JNDI is configured securely to prevent JNDI injection attacks.</t>
  </si>
  <si>
    <t>No JNDI usage</t>
  </si>
  <si>
    <t>V1.3.9</t>
  </si>
  <si>
    <t>Verify that the application sanitizes content before it is sent to memcache to prevent injection attacks.</t>
  </si>
  <si>
    <t>No memcache usage</t>
  </si>
  <si>
    <t>V1.3.10</t>
  </si>
  <si>
    <t>Verify that format strings which might resolve in an unexpected or malicious way when used are sanitized before being processed.</t>
  </si>
  <si>
    <t>No format string vulnerabilities</t>
  </si>
  <si>
    <t>V1.3.11</t>
  </si>
  <si>
    <t>Verify that the application sanitizes user input before passing to mail systems to protect against SMTP or IMAP injection.</t>
  </si>
  <si>
    <t>No mail system integration</t>
  </si>
  <si>
    <t>V1.3.12</t>
  </si>
  <si>
    <t>Verify that regular expressions are free from elements causing exponential backtracking, and ensure untrusted input is sanitized to mitigate ReDoS or Runaway Regex attacks.</t>
  </si>
  <si>
    <t>Regex validation for report types</t>
  </si>
  <si>
    <t>V1.4</t>
  </si>
  <si>
    <t>Memory, String, and Unmanaged Code</t>
  </si>
  <si>
    <t>V1.4.1</t>
  </si>
  <si>
    <t>Verify that the application uses memory-safe string, safer memory copy and pointer arithmetic to detect or prevent stack, buffer, or heap overflows.</t>
  </si>
  <si>
    <t>Java language provides memory safety</t>
  </si>
  <si>
    <t>V1.4.2</t>
  </si>
  <si>
    <t>Verify that sign, range, and input validation techniques are used to prevent integer overflows.</t>
  </si>
  <si>
    <t>Input validation prevents invalid ranges</t>
  </si>
  <si>
    <t>SR-25, SR-28</t>
  </si>
  <si>
    <t>V1.4.3</t>
  </si>
  <si>
    <t>Verify that dynamically allocated memory and resources are released, and that references or pointers to freed memory are removed or set to null to prevent dangling pointers and use-after-free vulnerabilities.</t>
  </si>
  <si>
    <t>Java garbage collection and Spring framework resource management</t>
  </si>
  <si>
    <t>V1.5</t>
  </si>
  <si>
    <t>Safe Deserialization</t>
  </si>
  <si>
    <t>V1.5.1</t>
  </si>
  <si>
    <t>Verify that the application configures XML parsers to use a restrictive configuration and that unsafe features such as resolving external entities are disabled to prevent XML eXternal Entity (XXE) attacks.</t>
  </si>
  <si>
    <t>No XML parsing in application</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</si>
  <si>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</si>
  <si>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</si>
  <si>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JSON schema validation for telemetry</t>
  </si>
  <si>
    <t>SR-28</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</si>
  <si>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</si>
  <si>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</si>
  <si>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Application uses a single JSON parser (Jackson) with consistent configuration</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</si>
  <si>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</si>
  <si>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</si>
  <si>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</si>
  <si>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</si>
  <si>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documented in security requirements</t>
  </si>
  <si>
    <t>SR-24 to SR-31</t>
  </si>
  <si>
    <t>V2.1.2</t>
  </si>
  <si>
    <t>Verify that the application's documentation defines how to validate the logical and contextual consistency of combined data items, such as checking that suburb and ZIP code match.</t>
  </si>
  <si>
    <t>Business logic validation for stock quantities</t>
  </si>
  <si>
    <t>SR-25</t>
  </si>
  <si>
    <t>V2.1.3</t>
  </si>
  <si>
    <t>Verify that expectations for business logic limits and validations are documented, including both per-user and globally across the application.</t>
  </si>
  <si>
    <t>Business limits documented in NFRs and SRs</t>
  </si>
  <si>
    <t>NFR-01 to NFR-15, SR-01 to SR-46</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</si>
  <si>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</si>
  <si>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</si>
  <si>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</si>
  <si>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</si>
  <si>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Input is validated using strict schemas, allowed ranges, and size limits before processing</t>
  </si>
  <si>
    <t>SR-24, SR-25, SR-26, SR-28, SR-29, SR-30, SR-31</t>
  </si>
  <si>
    <t>V2.2.2</t>
  </si>
  <si>
    <t>Verify that the application is designed to enforce input validation at a trusted service layer. While client-side validation improves usability and should be encouraged, it must not be relied upon as a security control.</t>
  </si>
  <si>
    <t>Server-side validation enforced</t>
  </si>
  <si>
    <t>SR-24, SR-25</t>
  </si>
  <si>
    <t>V2.2.3</t>
  </si>
  <si>
    <t>Verify that the application ensures that combinations of related data items are reasonable according to the pre-defined rules.</t>
  </si>
  <si>
    <t>Business logic validation for purchases and inventory</t>
  </si>
  <si>
    <t>SR-15, SR-25</t>
  </si>
  <si>
    <t>V2.3</t>
  </si>
  <si>
    <t>Business Logic Security</t>
  </si>
  <si>
    <t>V2.3.1</t>
  </si>
  <si>
    <t>Verify that the application will only process business logic flows for the same user in the expected sequential step order and without skipping steps.</t>
  </si>
  <si>
    <t>Sequential purchase flow validation</t>
  </si>
  <si>
    <t>V2.3.2</t>
  </si>
  <si>
    <t>Verify that business logic limits are implemented per the application's documentation to avoid business logic flaws being exploited.</t>
  </si>
  <si>
    <t>Stock limits and price validation</t>
  </si>
  <si>
    <t>V2.3.3</t>
  </si>
  <si>
    <t>Verify that transactions are being used at the business logic level such that either a business logic operation succeeds in its entirety or it is rolled back to the previous correct state.</t>
  </si>
  <si>
    <t>ACID compliance for transactions</t>
  </si>
  <si>
    <t>NFR-08, SR-15</t>
  </si>
  <si>
    <t>V2.3.4</t>
  </si>
  <si>
    <t>Verify that business logic level locking mechanisms are used to ensure that limited quantity resources (such as theater seats or delivery slots) cannot be double-booked by manipulating the application's logic.</t>
  </si>
  <si>
    <t>Pessimistic locking for inventory</t>
  </si>
  <si>
    <t>SR-15</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</si>
  <si>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</si>
  <si>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</si>
  <si>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No high-value multi-user approval flows in vending system</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</si>
  <si>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</si>
  <si>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</si>
  <si>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</si>
  <si>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</si>
  <si>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Basic protections implemented (rate limiting, account lockout)</t>
  </si>
  <si>
    <t>SR-07,SR-30, SR-31</t>
  </si>
  <si>
    <t>V2.4.2</t>
  </si>
  <si>
    <t>Verify that business logic flows require realistic human timing, preventing excessively rapid transaction submissions.</t>
  </si>
  <si>
    <t>No controls enforcing human-like interaction timing</t>
  </si>
  <si>
    <t>SR-01 to SR-08</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</si>
  <si>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</si>
  <si>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</si>
  <si>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</si>
  <si>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</si>
  <si>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Security headers defined but not documented as formal browser requirement set</t>
  </si>
  <si>
    <t>SR-14</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</si>
  <si>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</si>
  <si>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</si>
  <si>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</si>
  <si>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</si>
  <si>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CSP sandbox and Sec-Fetch-* not implemented</t>
  </si>
  <si>
    <t>V3.2.2</t>
  </si>
  <si>
    <t>Verify that content intended to be displayed as text, rather than rendered as HTML, is handled using safe rendering functions (such as createTextNode or textContent) to prevent unintended execution of content such as HTML or JavaScript.</t>
  </si>
  <si>
    <t>Frontend uses textContent for safe rendering</t>
  </si>
  <si>
    <t>SR-03</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</si>
  <si>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</si>
  <si>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</si>
  <si>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explicit DOM isolation strategy implemented</t>
  </si>
  <si>
    <t>SR-04</t>
  </si>
  <si>
    <t>V3.3</t>
  </si>
  <si>
    <t>Cookie Setup</t>
  </si>
  <si>
    <t>V3.3.1</t>
  </si>
  <si>
    <t>Verify that cookies have the 'Secure' attribute set, and if the '\__Host-' prefix is not used for the cookie name, the '__Secure-' prefix must be used for the cookie name.</t>
  </si>
  <si>
    <t>Secure cookies enforced via Spring Security config</t>
  </si>
  <si>
    <t>V3.3.2</t>
  </si>
  <si>
    <t>Verify that each cookie's 'SameSite' attribute value is set according to the purpose of the cookie, to limit exposure to user interface redress attacks and browser-based request forgery attacks, commonly known as cross-site request forgery (CSRF).</t>
  </si>
  <si>
    <t>SameSite=Lax applied for session cookies</t>
  </si>
  <si>
    <t>V3.3.3</t>
  </si>
  <si>
    <t>Verify that cookies have the '__Host-' prefix for the cookie name unless they are explicitly designed to be shared with other hosts.</t>
  </si>
  <si>
    <t>Not consistently applied across all cookies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</si>
  <si>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</si>
  <si>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</si>
  <si>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Session cookies protected from JS access</t>
  </si>
  <si>
    <t>SR-07</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</si>
  <si>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</si>
  <si>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</si>
  <si>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Cookie size validated (&lt;4096 bytes)</t>
  </si>
  <si>
    <t>NFR-19</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</si>
  <si>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</si>
  <si>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</si>
  <si>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</si>
  <si>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</si>
  <si>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enabled in security configuration</t>
  </si>
  <si>
    <t>SR-17</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</si>
  <si>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</si>
  <si>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</si>
  <si>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configured with allowlist in backend</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</si>
  <si>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</si>
  <si>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</si>
  <si>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CSP not fully implemented (basic config only)</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</si>
  <si>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</si>
  <si>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</si>
  <si>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nosniff enabled globally</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</si>
  <si>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</si>
  <si>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</si>
  <si>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Not explicitly configured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</si>
  <si>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</si>
  <si>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</si>
  <si>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Not explicitly enforced</t>
  </si>
  <si>
    <t>V3.4.7</t>
  </si>
  <si>
    <t>Verify that the Content-Security-Policy header field specifies a location to report violations.</t>
  </si>
  <si>
    <t>CSP reporting not implemented</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</si>
  <si>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</si>
  <si>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</si>
  <si>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Not required for current SPA architecture</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</si>
  <si>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</si>
  <si>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</si>
  <si>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</si>
  <si>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</si>
  <si>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CSRF protection enabled via Spring Security (cookie/session flow)</t>
  </si>
  <si>
    <t>SR-08</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</si>
  <si>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</si>
  <si>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</si>
  <si>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Backend enforces strict CORS rules</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</si>
  <si>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</si>
  <si>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</si>
  <si>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SR-02</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</si>
  <si>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</si>
  <si>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</si>
  <si>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deployment architecture</t>
  </si>
  <si>
    <t>V3.5.5</t>
  </si>
  <si>
    <t>Verify that messages received by the postMessage interface are discarded if the origin of the message is not trusted, or if the syntax of the message is invalid.</t>
  </si>
  <si>
    <t>postMessage not used</t>
  </si>
  <si>
    <t>V3.5.6</t>
  </si>
  <si>
    <t>Verify that JSONP functionality is not enabled anywhere across the application to avoid Cross-Site Script Inclusion (XSSI) attacks.</t>
  </si>
  <si>
    <t>JSONP not used anywhere in system</t>
  </si>
  <si>
    <t>V3.5.7</t>
  </si>
  <si>
    <t>Verify that data requiring authorization is not included in script resource responses, like JavaScript files, to prevent Cross-Site Script Inclusion (XSSI) attacks.</t>
  </si>
  <si>
    <t>No sensitive backend data exposed in frontend builds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</si>
  <si>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</si>
  <si>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</si>
  <si>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Controlled via CORS + security headers</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</si>
  <si>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</si>
  <si>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</si>
  <si>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</si>
  <si>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</si>
  <si>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 external JS/CSS dependencies used</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</si>
  <si>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</si>
  <si>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</si>
  <si>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</si>
  <si>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</si>
  <si>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Only modern web stack used (no legacy plugins)</t>
  </si>
  <si>
    <t>V3.7.2</t>
  </si>
  <si>
    <t>Verify that the application will only automatically redirect the user to a different hostname or domain (which is not controlled by the application) where the destination appears on an allowlist.</t>
  </si>
  <si>
    <t>Redirect validation not fully</t>
  </si>
  <si>
    <t>V3.7.3</t>
  </si>
  <si>
    <t>Verify that the application shows a notification when the user is being redirected to a URL outside of the application's control, with an option to cancel the navigation.</t>
  </si>
  <si>
    <t>No external redirect UX</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</si>
  <si>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</si>
  <si>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</si>
  <si>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Not applicable for project scope</t>
  </si>
  <si>
    <t>V3.7.5</t>
  </si>
  <si>
    <t>Verify that the application behaves as documented (such as warning the user or blocking access) if the browser used to access the application does not support the expected security features.</t>
  </si>
  <si>
    <t>No explicit fallback behavior documented</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</si>
  <si>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</si>
  <si>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</si>
  <si>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</si>
  <si>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</si>
  <si>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Content-Type enforced via Spring Boot REST default serialization</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</si>
  <si>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</si>
  <si>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</si>
  <si>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HTTPS enforced globally via security configuration</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</si>
  <si>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</si>
  <si>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</si>
  <si>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Proxy headers controlled at gateway level</t>
  </si>
  <si>
    <t>V4.1.4</t>
  </si>
  <si>
    <t>Verify that only HTTP methods that are explicitly supported by the application or its API (including OPTIONS during preflight requests) can be used and that unused methods are blocked.</t>
  </si>
  <si>
    <t>Only standard methods enabled; others blocked</t>
  </si>
  <si>
    <t>V4.1.5</t>
  </si>
  <si>
    <t>Verify that per-message digital signatures are used to provide additional assurance on top of transport protections for requests or transactions which are highly sensitive or which traverse a number of systems.</t>
  </si>
  <si>
    <t>Not implemented; covered by TLS and backend integrity controls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</si>
  <si>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</si>
  <si>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</si>
  <si>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</si>
  <si>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</si>
  <si>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Handled by framework and reverse proxy configuration</t>
  </si>
  <si>
    <t>V4.2.2</t>
  </si>
  <si>
    <t>Verify that when generating HTTP messages, the Content-Length header field does not conflict with the length of the content as determined by the framing of the HTTP protocol, in order to prevent request smuggling attacks.</t>
  </si>
  <si>
    <t>Managed by server framework (Spring Boot/Tomcat)</t>
  </si>
  <si>
    <t>V4.2.3</t>
  </si>
  <si>
    <t>Verify that the application does not send nor accept HTTP/2 or HTTP/3 messages with connection-specific header fields such as Transfer-Encoding to prevent response splitting and header injection attacks.</t>
  </si>
  <si>
    <t>HTTP/2 not directly exposed in application layer</t>
  </si>
  <si>
    <t>V4.2.4</t>
  </si>
  <si>
    <t>Verify that the application only accepts HTTP/2 and HTTP/3 requests where the header fields and values do not contain any CR (\r), LF (\n), or CRLF (\r\n) sequences, to prevent header injection attacks.</t>
  </si>
  <si>
    <t>Input validation + framework sanitization</t>
  </si>
  <si>
    <t>SR-32</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</si>
  <si>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</si>
  <si>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</si>
  <si>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equest size limits enforced at server/gateway level</t>
  </si>
  <si>
    <t>V4.3</t>
  </si>
  <si>
    <t>GraphQL</t>
  </si>
  <si>
    <t>V4.3.1</t>
  </si>
  <si>
    <t>Verify that a query allowlist, depth limiting, amount limiting, or query cost analysis is used to prevent GraphQL or data layer expression Denial of Service (DoS) as a result of expensive, nested queries.</t>
  </si>
  <si>
    <t>GraphQL not used in system</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</si>
  <si>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</si>
  <si>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</si>
  <si>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</si>
  <si>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</si>
  <si>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</si>
  <si>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</si>
  <si>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WebSockets not used in system</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</si>
  <si>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</si>
  <si>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</si>
  <si>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</si>
  <si>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</si>
  <si>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</si>
  <si>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</si>
  <si>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</si>
  <si>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</si>
  <si>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</si>
  <si>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</si>
  <si>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File operations limited to backups and reports</t>
  </si>
  <si>
    <t>V5.2</t>
  </si>
  <si>
    <t>File Upload and Content</t>
  </si>
  <si>
    <t>V5.2.1</t>
  </si>
  <si>
    <t>Verify that the application will only accept files of a size which it can process without causing a loss of performance or a denial of service attack.</t>
  </si>
  <si>
    <t>Request payload size limit (max 1 MB); applies to file uploads and prevents DoS via large files</t>
  </si>
  <si>
    <t>SR-30</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</si>
  <si>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</si>
  <si>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</si>
  <si>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No file upload functionality in REST API; backups are system-generated</t>
  </si>
  <si>
    <t>V5.2.3</t>
  </si>
  <si>
    <t>Verify that the application checks compressed files (e.g., zip, gz, docx, odt) against maximum allowed uncompressed size and against maximum number of files before uncompressing the file.</t>
  </si>
  <si>
    <t>No compressed file extraction; backups handled via ProcessBuilder</t>
  </si>
  <si>
    <t>V5.2.4</t>
  </si>
  <si>
    <t>Verify that a file size quota and maximum number of files per user are enforced to ensure that a single user cannot fill up the storage with too many files, or excessively large files.</t>
  </si>
  <si>
    <t>No per-user file quota; backup rotation managed at system level</t>
  </si>
  <si>
    <t>V5.2.5</t>
  </si>
  <si>
    <t>Verify that the application does not allow uploading compressed files containing symlinks unless this is specifically required (in which case it will be necessary to enforce an allowlist of the files that can be symlinked to).</t>
  </si>
  <si>
    <t>Symlink attack mitigation via NOFOLLOW_LINKS in file operations; archive extraction will validate and reject symlinks</t>
  </si>
  <si>
    <t>SR-27</t>
  </si>
  <si>
    <t>V5.2.6</t>
  </si>
  <si>
    <t>Verify that the application rejects uploaded images with a pixel size larger than the maximum allowed, to prevent pixel flood attacks.</t>
  </si>
  <si>
    <t>No image processing functionality</t>
  </si>
  <si>
    <t>V5.3</t>
  </si>
  <si>
    <t>File Storage</t>
  </si>
  <si>
    <t>V5.3.1</t>
  </si>
  <si>
    <t>Verify that files uploaded or generated by untrusted input and stored in a public folder, are not executed as server-side program code when accessed directly with an HTTP request.</t>
  </si>
  <si>
    <t>Backup files stored in `/var/vendnet/backups/` with restrictive permissions (700); not served via HTTP</t>
  </si>
  <si>
    <t>NFR-11</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</si>
  <si>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</si>
  <si>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</si>
  <si>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Path validation with allowlist regex</t>
  </si>
  <si>
    <t>V5.3.3</t>
  </si>
  <si>
    <t>Verify that server-side file processing, such as file decompression, ignores user-provided path information to prevent vulnerabilities such as zip slip.</t>
  </si>
  <si>
    <t>No decompression operations in scope; backups are direct dumps</t>
  </si>
  <si>
    <t>V5.4</t>
  </si>
  <si>
    <t>File Download</t>
  </si>
  <si>
    <t>V5.4.1</t>
  </si>
  <si>
    <t>Verify that the application validates or ignores user-submitted filenames, including in a JSON, JSONP, or URL parameter and specifies a filename in the Content-Disposition header field in the response.</t>
  </si>
  <si>
    <t>Report generation uses system-generated names; user parameters validated via regex</t>
  </si>
  <si>
    <t>V5.4.2</t>
  </si>
  <si>
    <t>Verify that file names served (e.g., in HTTP response header fields or email attachments) are encoded or sanitized (e.g., following RFC 6266) to preserve document structure and prevent injection attacks.</t>
  </si>
  <si>
    <t>File serving endpoint applies `Content-Disposition` header with sanitized filename</t>
  </si>
  <si>
    <t>V5.4.3</t>
  </si>
  <si>
    <t>Verify that files obtained from untrusted sources are scanned by antivirus scanners to prevent serving of known malicious content.</t>
  </si>
  <si>
    <t>No file downloads from untrusted sources; backups are internal</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</si>
  <si>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</si>
  <si>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</si>
  <si>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</si>
  <si>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</si>
  <si>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Account lockout after 5 failed attempts in 15 min; 30-min lockout duration documented</t>
  </si>
  <si>
    <t>SR-07, NFR-07</t>
  </si>
  <si>
    <t>V6.1.2</t>
  </si>
  <si>
    <t>Verify that a list of context-specific words is documented in order to prevent their use in passwords. The list could include permutations of organization names, product names, system identifiers, project codenames, department or role names, and similar.</t>
  </si>
  <si>
    <t>REST API does not implement user password policy</t>
  </si>
  <si>
    <t>V6.1.3</t>
  </si>
  <si>
    <t>Verify that, if the application includes multiple authentication pathways, these are all documented together with the security controls and authentication strength which must be consistently enforced across them.</t>
  </si>
  <si>
    <t>JWT-based authentication for users; mTLS for machines; documented in security requirements</t>
  </si>
  <si>
    <t>SR-01 to SR-08, NFR-15</t>
  </si>
  <si>
    <t>V6.2</t>
  </si>
  <si>
    <t>Password Security</t>
  </si>
  <si>
    <t>V6.2.1</t>
  </si>
  <si>
    <t>Verify that user set passwords are at least 8 characters in length although a minimum of 15 characters is strongly recommended.</t>
  </si>
  <si>
    <t>Password policy enforced at login/registration external to REST API</t>
  </si>
  <si>
    <t>V6.2.2</t>
  </si>
  <si>
    <t>Verify that users can change their password.</t>
  </si>
  <si>
    <t>Password management handled outside REST API scope</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</si>
  <si>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</si>
  <si>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</si>
  <si>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</si>
  <si>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</si>
  <si>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</si>
  <si>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</si>
  <si>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Password policy enforced at login external to REST API</t>
  </si>
  <si>
    <t>V6.2.6</t>
  </si>
  <si>
    <t>Verify that password input fields use type=password to mask the entry. Applications may allow the user to temporarily view the entire masked password, or the last typed character of the password.</t>
  </si>
  <si>
    <t>REST API does not render HTML; client responsibility</t>
  </si>
  <si>
    <t>V6.2.7</t>
  </si>
  <si>
    <t>Verify that "paste" functionality, browser password helpers, and external password managers are permitted.</t>
  </si>
  <si>
    <t>REST API does not render HTML</t>
  </si>
  <si>
    <t>V6.2.8</t>
  </si>
  <si>
    <t>Verify that the application verifies the user's password exactly as received from the user, without any modifications such as truncation or case transformation.</t>
  </si>
  <si>
    <t>Password submitted over HTTPS directly to Spring Security filter; BCrypt verifies without modification</t>
  </si>
  <si>
    <t>NFR-05</t>
  </si>
  <si>
    <t>V6.2.9</t>
  </si>
  <si>
    <t>Verify that passwords of at least 64 characters are permitted.</t>
  </si>
  <si>
    <t>Password length restrictions not enforced at REST API layer</t>
  </si>
  <si>
    <t>V6.2.10</t>
  </si>
  <si>
    <t>Verify that a user's password stays valid until it is discovered to be compromised or the user rotates it. The application must not require periodic credential rotation.</t>
  </si>
  <si>
    <t>No forced password rotation policy documented</t>
  </si>
  <si>
    <t>V6.2.11</t>
  </si>
  <si>
    <t>Verify that the documented list of context specific words is used to prevent easy to guess passwords being created.</t>
  </si>
  <si>
    <t>Password policy enforced externally</t>
  </si>
  <si>
    <t>V6.2.12</t>
  </si>
  <si>
    <t>Verify that passwords submitted during account registration or password changes are checked against a set of breached passwords.</t>
  </si>
  <si>
    <t>Breached password checking not documented; assumed external IdP responsibility</t>
  </si>
  <si>
    <t>V6.3</t>
  </si>
  <si>
    <t>General Authentication Security</t>
  </si>
  <si>
    <t>V6.3.1</t>
  </si>
  <si>
    <t>Verify that controls to prevent attacks such as credential stuffing and password brute force are implemented according to the application's security documentation.</t>
  </si>
  <si>
    <t>Account lockout after 5 failed attempts; distributed rate limiter via Spring Security filter</t>
  </si>
  <si>
    <t>V6.3.2</t>
  </si>
  <si>
    <t>Verify that default user accounts (e.g., "root", "admin", or "sa") are not present in the application or are disabled.</t>
  </si>
  <si>
    <t>Default accounts disabled or not created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</si>
  <si>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</si>
  <si>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</si>
  <si>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MFA required for Administrator role</t>
  </si>
  <si>
    <t>SR-01</t>
  </si>
  <si>
    <t>V6.3.4</t>
  </si>
  <si>
    <t>Verify that, if the application includes multiple authentication pathways, there are no undocumented pathways and that security controls and authentication strength are enforced consistently.</t>
  </si>
  <si>
    <t>JWT for users; mTLS for machines; no undocumented pathways documented</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</si>
  <si>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</si>
  <si>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</si>
  <si>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Security alerts on &gt;5 failed logins/min per user; notifications via audit log</t>
  </si>
  <si>
    <t>SR-44</t>
  </si>
  <si>
    <t>V6.3.6</t>
  </si>
  <si>
    <t>Verify that email is not used as either a single-factor or multi-factor authentication mechanism.</t>
  </si>
  <si>
    <t>No email-based authentication</t>
  </si>
  <si>
    <t>V6.3.7</t>
  </si>
  <si>
    <t>Verify that users are notified after updates to authentication details, such as credential resets or modification of the username or email address.</t>
  </si>
  <si>
    <t>Audit log records all auth factor changes; admin-triggered notifications documented</t>
  </si>
  <si>
    <t>SR-39</t>
  </si>
  <si>
    <t>V6.3.8</t>
  </si>
  <si>
    <t>Verify that valid users cannot be deduced from failed authentication challenges, such as by basing on error messages, HTTP response codes, or different response times. Registration and forgot password functionality must also have this protection.</t>
  </si>
  <si>
    <t>Generic error messages on login failure; Constant-time BCrypt comparison</t>
  </si>
  <si>
    <t>T-32</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</si>
  <si>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</si>
  <si>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</si>
  <si>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</si>
  <si>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</si>
  <si>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Account provisioning handled externally; not in scope for REST API</t>
  </si>
  <si>
    <t>V6.4.2</t>
  </si>
  <si>
    <t>Verify that password hints or knowledge-based authentication (so-called "secret questions") are not present.</t>
  </si>
  <si>
    <t>No password hints or secret questions implemented</t>
  </si>
  <si>
    <t>V6.4.3</t>
  </si>
  <si>
    <t>Verify that a secure process for resetting a forgotten password is implemented, that does not bypass any enabled multi-factor authentication mechanisms.</t>
  </si>
  <si>
    <t>Password reset handled externally; outside REST API scope</t>
  </si>
  <si>
    <t>V6.4.4</t>
  </si>
  <si>
    <t>Verify that if a multi-factor authentication factor is lost, evidence of identity proofing is performed at the same level as during enrollment.</t>
  </si>
  <si>
    <t>Account recovery/reprovisioning handled externally</t>
  </si>
  <si>
    <t>V6.4.5</t>
  </si>
  <si>
    <t>Verify that renewal instructions for authentication mechanisms which expire are sent with enough time to be carried out before the old authentication mechanism expires, configuring automated reminders if necessary.</t>
  </si>
  <si>
    <t>JWT key rotation every 90 days with advance notification to operators</t>
  </si>
  <si>
    <t>V6.4.6</t>
  </si>
  <si>
    <t>Verify that administrative users can initiate the password reset process for the user, but that this does not allow them to change or choose the user's password. This prevents a situation where they know the user's password.</t>
  </si>
  <si>
    <t>Admin can trigger password reset; user must complete reset via secure link (not documented in REST API scope)</t>
  </si>
  <si>
    <t>V6.5</t>
  </si>
  <si>
    <t>General Multi-factor authentication requirements</t>
  </si>
  <si>
    <t>V6.5.1</t>
  </si>
  <si>
    <t>Verify that lookup secrets, out-of-band authentication requests or codes, and time-based one-time passwords (TOTPs) are only successfully usable once.</t>
  </si>
  <si>
    <t>TOTP/SMS OTP codes validated once per authentication; consumed after verification</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</si>
  <si>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</si>
  <si>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</si>
  <si>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MFA backup codes hashed with BCrypt; entropy ≥ 112 bits ensured via CSPRNG generation</t>
  </si>
  <si>
    <t>V6.5.3</t>
  </si>
  <si>
    <t>Verify that lookup secrets, out-of-band authentication code, and time-based one-time password seeds, are generated using a Cryptographically Secure Pseudorandom Number Generator (CSPRNG) to avoid predictable values.</t>
  </si>
  <si>
    <t>MFA seeds generated via `java.security.SecureRandom` or equivalent CSPRNG</t>
  </si>
  <si>
    <t>V6.5.4</t>
  </si>
  <si>
    <t>Verify that lookup secrets and out-of-band authentication codes have a minimum of 20 bits of entropy (typically 4 random alphanumeric characters or 6 random digits is sufficient).</t>
  </si>
  <si>
    <t>OTP codes generated with ≥ 20 bits entropy via CSPRNG</t>
  </si>
  <si>
    <t>V6.5.5</t>
  </si>
  <si>
    <t>Verify that out-of-band authentication requests, codes, or tokens, as well as time-based one-time passwords (TOTPs) have a defined lifetime. Out of band requests must have a maximum lifetime of 10 minutes and for TOTP a maximum lifetime of 30 seconds.</t>
  </si>
  <si>
    <t>TOTP max lifetime 30s; out-of-band codes valid for 10 min; enforcement via timestamp validation</t>
  </si>
  <si>
    <t>V6.5.6</t>
  </si>
  <si>
    <t>Verify that any authentication factor (including physical devices) can be revoked in case of theft or other loss.</t>
  </si>
  <si>
    <t>Admin can revoke MFA factors for compromised users; device certificates revoked via CRL/OCSP</t>
  </si>
  <si>
    <t>SR-22</t>
  </si>
  <si>
    <t>V6.5.7</t>
  </si>
  <si>
    <t>Verify that biometric authentication mechanisms are only used as secondary factors together with either something you have or something you know.</t>
  </si>
  <si>
    <t>No biometric authentication in scope</t>
  </si>
  <si>
    <t>V6.5.8</t>
  </si>
  <si>
    <t>Verify that time-based one-time passwords (TOTPs) are checked based on a time source from a trusted service and not from an untrusted or client provided time.</t>
  </si>
  <si>
    <t>TOTP validation uses server-side system time (NTP-synchronized)</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</si>
  <si>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</si>
  <si>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</si>
  <si>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</si>
  <si>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</si>
  <si>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SMS MFA available as secondary option; TOTP recommended as primary; phone validation required</t>
  </si>
  <si>
    <t>V6.6.2</t>
  </si>
  <si>
    <t>Verify that out-of-band authentication requests, codes, or tokens are bound to the original authentication request for which they were generated and are not usable for a previous or subsequent one.</t>
  </si>
  <si>
    <t>OTP codes bound to authentication session ID; cannot be reused for different session</t>
  </si>
  <si>
    <t>V6.6.3</t>
  </si>
  <si>
    <t>Verify that a code based out-of-band authentication mechanism is protected against brute force attacks by using rate limiting. Consider also using a code with at least 64 bits of entropy.</t>
  </si>
  <si>
    <t>OTP brute-force protection via rate limiting; codes ≥ 64 bits entropy via CSPRNG</t>
  </si>
  <si>
    <t>SR-01, NFR-07</t>
  </si>
  <si>
    <t>V6.6.4</t>
  </si>
  <si>
    <t>Verify that, where push notifications are used for multi-factor authentication, rate limiting is used to prevent push bombing attacks. Number matching may also mitigate this risk.</t>
  </si>
  <si>
    <t>Push MFA requests rate-limited to 5/min per user</t>
  </si>
  <si>
    <t>V6.7</t>
  </si>
  <si>
    <t>Cryptographic authentication mechanism</t>
  </si>
  <si>
    <t>V6.7.1</t>
  </si>
  <si>
    <t>Verify that the certificates used to verify cryptographic authentication assertions are stored in a way protects them from modification.</t>
  </si>
  <si>
    <t>mTLS certificates pinned in application config; protected via file system permissions (600)</t>
  </si>
  <si>
    <t>V6.7.2</t>
  </si>
  <si>
    <t>Verify that the challenge nonce is at least 64 bits in length, and statistically unique or unique over the lifetime of the cryptographic device.</t>
  </si>
  <si>
    <t>Challenge nonces ≥ 64 bits via CSPRNG; unique per authentication session</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</si>
  <si>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</si>
  <si>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</si>
  <si>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</si>
  <si>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</si>
  <si>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Single IdP integration; multiple IdPs not in scope</t>
  </si>
  <si>
    <t>V6.8.2</t>
  </si>
  <si>
    <t>Verify that the presence and integrity of digital signatures on authentication assertions (for example on JWTs or SAML assertions) are always validated, rejecting any assertions that are unsigned or have invalid signatures.</t>
  </si>
  <si>
    <t>JWT signature validation enforced; unsigned tokens rejected; Spring Security filter validates</t>
  </si>
  <si>
    <t>V6.8.3</t>
  </si>
  <si>
    <t>Verify that SAML assertions are uniquely processed and used only once within the validity period to prevent replay attacks.</t>
  </si>
  <si>
    <t>No SAML used; JWT-based authentication only</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</si>
  <si>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</si>
  <si>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</si>
  <si>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JWT includes `auth_time` and `acr` claims; Admin endpoints require recent authentication (acr ≥ "mfa")</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</si>
  <si>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</si>
  <si>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</si>
  <si>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</si>
  <si>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</si>
  <si>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JWT expiry configured; inactivity timeout enforced; documented in security requirements</t>
  </si>
  <si>
    <t>SR-05</t>
  </si>
  <si>
    <t>V7.1.2</t>
  </si>
  <si>
    <t>Verify that the documentation defines how many concurrent (parallel) sessions are allowed for one account as well as the intended behaviors and actions to be taken when the maximum number of active sessions is reached.</t>
  </si>
  <si>
    <t>Single active JWT per user enforced; new login invalidates previous session</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</si>
  <si>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</si>
  <si>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</si>
  <si>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 federated identity management</t>
  </si>
  <si>
    <t>V7.2</t>
  </si>
  <si>
    <t>Fundamental Session Management Security</t>
  </si>
  <si>
    <t>V7.2.1</t>
  </si>
  <si>
    <t>Verify that the application performs all session token verification using a trusted, backend service.</t>
  </si>
  <si>
    <t>JWT validation performed server-side in Spring Security filter; no client-side trust</t>
  </si>
  <si>
    <t>V7.2.2</t>
  </si>
  <si>
    <t>Verify that the application uses either self-contained or reference tokens that are dynamically generated for session management, i.e. not using static API secrets and keys.</t>
  </si>
  <si>
    <t>JWT is self-contained; stateless authentication; no static session IDs</t>
  </si>
  <si>
    <t>SR-03, SR-04</t>
  </si>
  <si>
    <t>V7.2.3</t>
  </si>
  <si>
    <t>Verify that if reference tokens are used to represent user sessions, they are unique and generated using a cryptographically secure pseudo-random number generator (CSPRNG) and possess at least 128 bits of entropy.</t>
  </si>
  <si>
    <t>Self-contained JWTs used; reference tokens not applicable</t>
  </si>
  <si>
    <t>V7.2.4</t>
  </si>
  <si>
    <t>Verify that the application generates a new session token on user authentication, including re-authentication, and terminates the current session token.</t>
  </si>
  <si>
    <t>New JWT issued on login; previous JWT invalidated; stateless termination via `AccountStatus`</t>
  </si>
  <si>
    <t>V7.3</t>
  </si>
  <si>
    <t>Session Timeout</t>
  </si>
  <si>
    <t>V7.3.1</t>
  </si>
  <si>
    <t>Verify that there is an inactivity timeout such that re-authentication is enforced according to risk analysis and documented security decisions.</t>
  </si>
  <si>
    <t>JWT expiry enforced; inactivity detection via `auth_time` claim validation</t>
  </si>
  <si>
    <t>V7.3.2</t>
  </si>
  <si>
    <t>Verify that there is an absolute maximum session lifetime such that re-authentication is enforced according to risk analysis and documented security decisions.</t>
  </si>
  <si>
    <t>JWT `exp` claim enforces absolute lifetime (typically 24 hours); regular re-authentication required</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</si>
  <si>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</si>
  <si>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</si>
  <si>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</si>
  <si>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</si>
  <si>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JWT termination via `AccountStatus` check; blacklist for logout tokens not documented</t>
  </si>
  <si>
    <t>V7.4.2</t>
  </si>
  <si>
    <t>Verify that the application terminates all active sessions when a user account is disabled or deleted (such as an employee leaving the company).</t>
  </si>
  <si>
    <t>Account suspension triggers immediate `AccountStatus` check; all JWTs invalidated regardless of expiry</t>
  </si>
  <si>
    <t>V7.4.3</t>
  </si>
  <si>
    <t>Verify that the application gives the option to terminate all other active sessions after a successful change or removal of any authentication factor (including password change via reset or recovery and, if present, an MFA settings update).</t>
  </si>
  <si>
    <t>Logout all sessions option provided; Admin can terminate user sessions</t>
  </si>
  <si>
    <t>V7.4.4</t>
  </si>
  <si>
    <t>Verify that all pages that require authentication have easy and visible access to logout functionality.</t>
  </si>
  <si>
    <t>REST API; no HTML pages; logout via `POST /auth/logout` endpoint</t>
  </si>
  <si>
    <t>V7.4.5</t>
  </si>
  <si>
    <t>Verify that application administrators are able to terminate active sessions for an individual user or for all users.</t>
  </si>
  <si>
    <t>Admin endpoint `POST /admin/sessions/{userId}/terminate` available</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</si>
  <si>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</si>
  <si>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</si>
  <si>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</si>
  <si>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</si>
  <si>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Sensitive account changes require re-authentication challenge; MFA update enforces re-auth</t>
  </si>
  <si>
    <t>V7.5.2</t>
  </si>
  <si>
    <t>Verify that users are able to view and (having authenticated again with at least one factor) terminate any or all currently active sessions.</t>
  </si>
  <si>
    <t>User can view active sessions and revoke with re-authentication</t>
  </si>
  <si>
    <t>V7.5.3</t>
  </si>
  <si>
    <t>Verify that the application requires further authentication with at least one factor or secondary verification before performing highly sensitive transactions or operations.</t>
  </si>
  <si>
    <t>High-value operations (pricing, user suspension, backup) require re-auth or MFA challenge</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</si>
  <si>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</si>
  <si>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</si>
  <si>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</si>
  <si>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</si>
  <si>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No federated identity; single JWT issuer</t>
  </si>
  <si>
    <t>V7.6.2</t>
  </si>
  <si>
    <t>Verify that creation of a session requires either the user's consent or an explicit action, preventing the creation of new application sessions without user interaction.</t>
  </si>
  <si>
    <t>Login requires explicit credentials submission; session created only after successful auth</t>
  </si>
  <si>
    <t>V8.1</t>
  </si>
  <si>
    <t>Authorization Documentation</t>
  </si>
  <si>
    <t>V8.1.1</t>
  </si>
  <si>
    <t>Verify that authorization documentation defines rules for restricting function-level and data-specific access based on consumer permissions and resource attributes.</t>
  </si>
  <si>
    <t>RBAC rules documented; three roles with distinct permissions: Customer, Operator, Administrator</t>
  </si>
  <si>
    <t>SR-02, SR-06</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</si>
  <si>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</si>
  <si>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</si>
  <si>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Response DTOs exclude sensitive fields per role; `@JsonIgnore` annotations enforced</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</si>
  <si>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</si>
  <si>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</si>
  <si>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Contextual attributes (IP, user-agent, time) logged and used for anomaly detection</t>
  </si>
  <si>
    <t>SR-37, SR-44</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</si>
  <si>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</si>
  <si>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</si>
  <si>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Risk-based decisions; failed login frequency triggers account lock; unusual access triggers alert</t>
  </si>
  <si>
    <t>V8.2</t>
  </si>
  <si>
    <t>General Authorization Design</t>
  </si>
  <si>
    <t>V8.2.1</t>
  </si>
  <si>
    <t>Verify that the application ensures that function-level access is restricted to consumers with explicit permissions.</t>
  </si>
  <si>
    <t>Spring Security `@PreAuthorize` enforces role checks on all endpoints; no default allow</t>
  </si>
  <si>
    <t>V8.2.2</t>
  </si>
  <si>
    <t>Verify that the application ensures that data-specific access is restricted to consumers with explicit permissions to specific data items to mitigate insecure direct object reference (IDOR) and broken object level authorization (BOLA).</t>
  </si>
  <si>
    <t>User identity from JWT validated against resource owner; IDOR checks in service layer</t>
  </si>
  <si>
    <t>V8.2.3</t>
  </si>
  <si>
    <t>Verify that the application ensures that field-level access is restricted to consumers with explicit permissions to specific fields to mitigate broken object property level authorization (BOPLA).</t>
  </si>
  <si>
    <t>Response DTOs used; sensitive fields stripped per role (passwords, internal IDs)</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</si>
  <si>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</si>
  <si>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</si>
  <si>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Anomaly detection on login attempt IP/time; alerts generated for suspicious patterns</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</si>
  <si>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</si>
  <si>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</si>
  <si>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</si>
  <si>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</si>
  <si>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enforced server-side in Spring Security and service layer; no client-side trust</t>
  </si>
  <si>
    <t>SR-06</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</si>
  <si>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</si>
  <si>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</si>
  <si>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`AccountStatus` checked per request; role changes immediate; audit trail for access denials</t>
  </si>
  <si>
    <t>SR-05, SR-39</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</si>
  <si>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</si>
  <si>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</si>
  <si>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User identity from JWT `sub` claim used throughout; no intermediary privilege escalation</t>
  </si>
  <si>
    <t>V8.4</t>
  </si>
  <si>
    <t>Other Authorization Considerations</t>
  </si>
  <si>
    <t>V8.4.1</t>
  </si>
  <si>
    <t>Verify that multi-tenant applications use cross-tenant controls to ensure consumer operations will never affect tenants with which they do not have permissions to interact.</t>
  </si>
  <si>
    <t>Single-tenant vending network; multi-tenancy not in scope</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</si>
  <si>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</si>
  <si>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</si>
  <si>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 endpoints require MFA + recent auth (`auth_time` ≤ 30 min); continuous re-validation per request</t>
  </si>
  <si>
    <t>SR-01, SR-44</t>
  </si>
  <si>
    <t>V9.1</t>
  </si>
  <si>
    <t>Token source and integrity</t>
  </si>
  <si>
    <t>V9.1.1</t>
  </si>
  <si>
    <t>Verify that self-contained tokens are validated using their digital signature or MAC to protect against tampering before accepting the token's contents.</t>
  </si>
  <si>
    <t>JWT signature validation enforced via Spring Security filter; HMAC-SHA256 verification</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</si>
  <si>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</si>
  <si>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</si>
  <si>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Only HS256 algorithm permitted; `alg:none` rejected; allowlist enforced in JWT validation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</si>
  <si>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</si>
  <si>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</si>
  <si>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signing key stored server-side; header parameters (`jku`, `x5u`, `jwk`) ignored; key configured in application properties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</si>
  <si>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</si>
  <si>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</si>
  <si>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</si>
  <si>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</si>
  <si>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 `exp` and `nbf` claims validated; expired tokens rejected; Spring Security enforces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</si>
  <si>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</si>
  <si>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</si>
  <si>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JWT `typ` claim verified; access token type enforced; ID vs access token distinction</t>
  </si>
  <si>
    <t>V9.2.3</t>
  </si>
  <si>
    <t>Verify that the service only accepts tokens which are intended for use with that service (audience). For JWTs, this can be achieved by validating the 'aud' claim against an allowlist defined in the service.</t>
  </si>
  <si>
    <t>JWT `aud` claim validated against configured application name/ID allowlist</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</si>
  <si>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</si>
  <si>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</si>
  <si>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Single application audience; no dynamic provisioning; fixed `aud` claim per issuer</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</si>
  <si>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</si>
  <si>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</si>
  <si>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</si>
  <si>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</si>
  <si>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JWT tokens transmitted via secure HTTP `Authorization` header only; no client-side storage</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</si>
  <si>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</si>
  <si>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</si>
  <si>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OAuth `state` parameter generated via CSPRNG; nonce validation for OIDC flows</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</si>
  <si>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</si>
  <si>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</si>
  <si>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</si>
  <si>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</si>
  <si>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PKCE or state parameter validated in OAuth code flow</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</si>
  <si>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</si>
  <si>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</si>
  <si>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Single IdP; no mix-up risk</t>
  </si>
  <si>
    <t>V10.2.3</t>
  </si>
  <si>
    <t>Verify that the OAuth client only requests the required scopes (or other authorization parameters) in requests to the authorization server.</t>
  </si>
  <si>
    <t>Minimal scopes requested; scope sprawl prevented</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</si>
  <si>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</si>
  <si>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</si>
  <si>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</si>
  <si>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</si>
  <si>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JWT `aud` claim validated on each request</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</si>
  <si>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</si>
  <si>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</si>
  <si>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based on JWT `sub`, `scope`, and `role` claims</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</si>
  <si>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</si>
  <si>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</si>
  <si>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User identity from `iss` + `sub` combination; no reassignment possible</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</si>
  <si>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</si>
  <si>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</si>
  <si>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OIDC `acr`, `amr`, `auth_time` claims validated for sensitive operations</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</si>
  <si>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</si>
  <si>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</si>
  <si>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Sender-constrained tokens via mTLS binding or DPoP (future implementation)</t>
  </si>
  <si>
    <t>V10.4</t>
  </si>
  <si>
    <t>OAuth Authorization Server</t>
  </si>
  <si>
    <t>V10.4.1</t>
  </si>
  <si>
    <t>Verify that the authorization server validates redirect URIs based on a client-specific allowlist of pre-registered URIs using exact string comparison.</t>
  </si>
  <si>
    <t>Internal JWT issuer; no redirect URI flow</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</si>
  <si>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</si>
  <si>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</si>
  <si>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No OAuth code flow; JWTs issued directly</t>
  </si>
  <si>
    <t>V10.4.3</t>
  </si>
  <si>
    <t>Verify that the authorization code is short-lived. The maximum lifetime can be up to 10 minutes for L1 and L2 applications and up to 1 minute for L3 applications.</t>
  </si>
  <si>
    <t>No auth code flow</t>
  </si>
  <si>
    <t>V10.4.4</t>
  </si>
  <si>
    <t>Verify that for a given client, the authorization server only allows the usage of grants that this client needs to use. Note that the grants 'token' (Implicit flow) and 'password' (Resource Owner Password Credentials flow) must no longer be used.</t>
  </si>
  <si>
    <t>Only JWT bearer grants used; no Implicit or Password flow</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</si>
  <si>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</si>
  <si>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</si>
  <si>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Refresh token rotation implemented; invalidation on re-use</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</si>
  <si>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</si>
  <si>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</si>
  <si>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No code grant flow</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</si>
  <si>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</si>
  <si>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</si>
  <si>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No dynamic client registration</t>
  </si>
  <si>
    <t>V10.4.8</t>
  </si>
  <si>
    <t>Verify that refresh tokens have an absolute expiration, including if sliding refresh token expiration is applied.</t>
  </si>
  <si>
    <t>Refresh tokens expire after configured lifetime (e.g., 7 days)</t>
  </si>
  <si>
    <t>V10.4.9</t>
  </si>
  <si>
    <t>Verify that refresh tokens and reference access tokens can be revoked by an authorized user using the authorization server user interface, to mitigate the risk of malicious clients or stolen tokens.</t>
  </si>
  <si>
    <t>User can revoke active sessions / tokens via API endpoint</t>
  </si>
  <si>
    <t>V10.4.10</t>
  </si>
  <si>
    <t>Verify that confidential client is authenticated for client-to-authorized server backchannel requests such as token requests, pushed authorization requests (PAR), and token revocation requests.</t>
  </si>
  <si>
    <t>No backchannel flows; machines use mTLS</t>
  </si>
  <si>
    <t>NFR-15</t>
  </si>
  <si>
    <t>V10.4.11</t>
  </si>
  <si>
    <t>Verify that the authorization server configuration only assigns the required scopes to the OAuth client.</t>
  </si>
  <si>
    <t>Minimal scopes assigned per role; CUSTOMER, OPERATOR, ADMINISTRATOR</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</si>
  <si>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</si>
  <si>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</si>
  <si>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No response_mode parameter; JWT bearer token model</t>
  </si>
  <si>
    <t>V10.4.13</t>
  </si>
  <si>
    <t>Verify that grant type 'code' is always used together with pushed authorization requests (PAR).</t>
  </si>
  <si>
    <t>No code grant</t>
  </si>
  <si>
    <t>V10.4.14</t>
  </si>
  <si>
    <t>Verify that the authorization server issues only sender-constrained (Proof-of-Possession) access tokens, either with certificate-bound access tokens using mutual TLS (mTLS) or DPoP-bound access tokens (Demonstration of Proof of Possession).</t>
  </si>
  <si>
    <t>Sender-constrained tokens via certificate binding (future)</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</si>
  <si>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</si>
  <si>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</si>
  <si>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Not applicable to JWT bearer model</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</si>
  <si>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</si>
  <si>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</si>
  <si>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mTLS for machine clients; private_key_jwt not needed for bearer model</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</si>
  <si>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</si>
  <si>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</si>
  <si>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</si>
  <si>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</si>
  <si>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OIDC nonce validation; prevents replay attacks</t>
  </si>
  <si>
    <t>V10.5.2</t>
  </si>
  <si>
    <t>Verify that the client uniquely identifies the user from ID Token claims, usually the 'sub' claim, which cannot be reassigned to other users (for the scope of an identity provider).</t>
  </si>
  <si>
    <t>User identity from JWT `sub` claim; cannot be reassigned</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</si>
  <si>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</si>
  <si>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</si>
  <si>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Issuer URL hardcoded in config; metadata validation enforced</t>
  </si>
  <si>
    <t>V10.5.4</t>
  </si>
  <si>
    <t>Verify that the client validates that the ID Token is intended to be used for that client (audience) by checking that the 'aud' claim from the token is equal to the 'client_id' value for the client.</t>
  </si>
  <si>
    <t>JWT `aud` claim validation enforced per application</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</si>
  <si>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</si>
  <si>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</si>
  <si>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Back-channel logout token validation; type and event claim verification</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</si>
  <si>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</si>
  <si>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</si>
  <si>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</si>
  <si>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</si>
  <si>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Only JWT bearer (`code` equivalent) used; no Implicit flow</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</si>
  <si>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</si>
  <si>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</si>
  <si>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Logout requires explicit user action or `id_token_hint` validation</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</si>
  <si>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</si>
  <si>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</si>
  <si>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</si>
  <si>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</si>
  <si>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Explicit user consent on sensitive operations; documented in login flow</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</si>
  <si>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</si>
  <si>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</si>
  <si>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Consent prompts clearly show scope, application ID, and token lifetime</t>
  </si>
  <si>
    <t>V10.7.3</t>
  </si>
  <si>
    <t>Verify that the user can review, modify, and revoke consents which the user has granted through the authorization server.</t>
  </si>
  <si>
    <t>User can view and revoke active consents and sessions</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</si>
  <si>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</si>
  <si>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</si>
  <si>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</si>
  <si>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</si>
  <si>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Key management policy documented; NIST SP 800-57 compliance planned for secrets vault</t>
  </si>
  <si>
    <t>SR-04, SR-20</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</si>
  <si>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</si>
  <si>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</si>
  <si>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Cryptographic inventory: JWT signing key, mTLS certs, backup AES-256 key, HMAC keys documented</t>
  </si>
  <si>
    <t>SR-04, SR-18, SR-19</t>
  </si>
  <si>
    <t>V11.1.3</t>
  </si>
  <si>
    <t>Verify that cryptographic discovery mechanisms are employed to identify all instances of cryptography in the system, including encryption, hashing, and signing operations.</t>
  </si>
  <si>
    <t>Code scan for crypto API usage; JWT, AES, HMAC, BCrypt, mTLS identified</t>
  </si>
  <si>
    <t>V11.1.4</t>
  </si>
  <si>
    <t>Verify that a cryptographic inventory is maintained. This must include a documented plan that outlines the migration path to new cryptographic standards, such as post-quantum cryptography, in order to react to future threats.</t>
  </si>
  <si>
    <t>Post-quantum crypto migration plan; algorithm agility via Spring Security framework</t>
  </si>
  <si>
    <t>V11.2</t>
  </si>
  <si>
    <t>Secure Cryptography Implementation</t>
  </si>
  <si>
    <t>V11.2.1</t>
  </si>
  <si>
    <t>Verify that industry-validated implementations (including libraries and hardware-accelerated implementations) are used for cryptographic operations.</t>
  </si>
  <si>
    <t>Spring Security, Bouncy Castle, Java crypto providers; industry-standard libraries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</si>
  <si>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</si>
  <si>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</si>
  <si>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Algorithm selection via application properties; Spring Security abstraction; key rotation possible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</si>
  <si>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</si>
  <si>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</si>
  <si>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JWT HS256; AES-256 (256-bit security); mTLS ECC 256-bit</t>
  </si>
  <si>
    <t>SR-04, SR-13, SR-14, SR-18</t>
  </si>
  <si>
    <t>V11.2.4</t>
  </si>
  <si>
    <t>Verify that all cryptographic operations are constant-time, with no 'short-circuit' operations in comparisons, calculations, or returns, to avoid leaking information.</t>
  </si>
  <si>
    <t>Constant-time comparison via Spring Security / library implementation; BCrypt inherently constant-time</t>
  </si>
  <si>
    <t>V11.2.5</t>
  </si>
  <si>
    <t>Verify that all cryptographic modules fail securely, and errors are handled in a way that does not enable vulnerabilities, such as Padding Oracle attacks.</t>
  </si>
  <si>
    <t>Java crypto provider throws exceptions on invalid padding; no error information leakage</t>
  </si>
  <si>
    <t>V11.3</t>
  </si>
  <si>
    <t>Encryption Algorithms</t>
  </si>
  <si>
    <t>V11.3.1</t>
  </si>
  <si>
    <t>Verify that insecure block modes (e.g., ECB) and weak padding schemes (e.g., PKCS#1 v1.5) are not used.</t>
  </si>
  <si>
    <t>AES-256-GCM for backup encryption; no ECB mode used; padding enforced via authenticated encryption</t>
  </si>
  <si>
    <t>V11.3.2</t>
  </si>
  <si>
    <t>Verify that only approved ciphers and modes such as AES with GCM are used.</t>
  </si>
  <si>
    <t>AES-256-GCM for backups; HMAC-SHA256 for webhooks; TLS 1.2+ for transit</t>
  </si>
  <si>
    <t>SR-04, SR-14, SR-17, SR-19</t>
  </si>
  <si>
    <t>V11.3.3</t>
  </si>
  <si>
    <t>Verify that encrypted data is protected against unauthorized modification preferably by using an approved authenticated encryption method or by combining an approved encryption method with an approved MAC algorithm.</t>
  </si>
  <si>
    <t>AES-GCM provides authenticated encryption; HMAC-SHA256 on webhook payloads</t>
  </si>
  <si>
    <t>SR-14, SR-19</t>
  </si>
  <si>
    <t>V11.3.4</t>
  </si>
  <si>
    <t>Verify that nonces, initialization vectors, and other single-use numbers are not used for more than one encryption key and data-element pair. The method of generation must be appropriate for the algorithm being used.</t>
  </si>
  <si>
    <t>GCM IV generated per message via CSPRNG; AES-256-GCM enforces IV uniqueness</t>
  </si>
  <si>
    <t>V11.3.5</t>
  </si>
  <si>
    <t>Verify that any combination of an encryption algorithm and a MAC algorithm is operating in encrypt-then-MAC mode.</t>
  </si>
  <si>
    <t>AES-GCM is encrypt-then-authenticate; JWT uses HMAC over full payload</t>
  </si>
  <si>
    <t>SR-04, SR-19</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</si>
  <si>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</si>
  <si>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</si>
  <si>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</si>
  <si>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</si>
  <si>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SHA-256 for HMAC; HMAC-SHA256 for webhooks; MD5/SHA1 explicitly disabled</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</si>
  <si>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</si>
  <si>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</si>
  <si>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BCrypt with work factor ≥ 12; computationally intensive; Spring Security configures</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</si>
  <si>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</si>
  <si>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</si>
  <si>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SHA-256 (256-bit) for HMAC; collision-resistant; JWT signed with SHA-256</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</si>
  <si>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</si>
  <si>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</si>
  <si>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PBKDF2 or bcrypt-derived keys for external IdP password handling (if applicable)</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</si>
  <si>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</si>
  <si>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</si>
  <si>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</si>
  <si>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</si>
  <si>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Tokens, nonces, seeds via `java.security.SecureRandom`; ≥ 128 bits entropy; UUID v4 for non-secrets</t>
  </si>
  <si>
    <t>SR-01, SR-04</t>
  </si>
  <si>
    <t>V11.5.2</t>
  </si>
  <si>
    <t>Verify that the random number generation mechanism in use is designed to work securely, even under heavy demand.</t>
  </si>
  <si>
    <t>Java `SecureRandom` backed by system entropy; no state exhaustion risk</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</si>
  <si>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</si>
  <si>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</si>
  <si>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</si>
  <si>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</si>
  <si>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mTLS uses industry-standard PKI; key generation via OpenSSL/Java KeyGen with NIST curves</t>
  </si>
  <si>
    <t>SR-18</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</si>
  <si>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</si>
  <si>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</si>
  <si>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TLS 1.2+ enforces ECDHE with forward secrecy; weak DH disabled</t>
  </si>
  <si>
    <t>V11.7</t>
  </si>
  <si>
    <t>In-Use Data Cryptography</t>
  </si>
  <si>
    <t>V11.7.1</t>
  </si>
  <si>
    <t>Verify that full memory encryption is in use that protects sensitive data while it is in use, preventing access by unauthorized users or processes.</t>
  </si>
  <si>
    <t>In-memory encryption not practical for REST API; rely on OS-level memory protection</t>
  </si>
  <si>
    <t>V11.7.2</t>
  </si>
  <si>
    <t>Verify that data minimization ensures the minimal amount of data is exposed during processing, and ensure that data is encrypted immediately after use or as soon as feasible.</t>
  </si>
  <si>
    <t>Sensitive fields encrypted before storage; DTO responses exclude sensitive data</t>
  </si>
  <si>
    <t>SR-16, SR-45</t>
  </si>
  <si>
    <t>V12.1</t>
  </si>
  <si>
    <t>General TLS Security Guidance</t>
  </si>
  <si>
    <t>V12.1.1</t>
  </si>
  <si>
    <t>Verify that only the latest recommended versions of the TLS protocol are enabled, such as TLS 1.2 and TLS 1.3. The latest version of the TLS protocol must be the preferred option.</t>
  </si>
  <si>
    <t>TLS 1.3 configured as preferred; TLS 1.2 as fallback via `server.ssl.enabled-protocols=TLSv1.3,TLSv1.2` in Spring Boot configuration</t>
  </si>
  <si>
    <t>SR-17, NFR-04</t>
  </si>
  <si>
    <t>V12.1.2</t>
  </si>
  <si>
    <t>Verify that only recommended cipher suites are enabled, with the strongest cipher suites set as preferred. L3 applications must only support cipher suites which provide forward secrecy.</t>
  </si>
  <si>
    <t>Forward-secret cipher suites: TLS_AES_256_GCM_SHA384, TLS_CHACHA20_POLY1305_SHA256 configured via `server.ssl.ciphers` property</t>
  </si>
  <si>
    <t>V12.1.3</t>
  </si>
  <si>
    <t>Verify that the application validates that mTLS client certificates are trusted before using the certificate identity for authentication or authorization.</t>
  </si>
  <si>
    <t>Tomcat configured with `server.ssl.client-auth=need`; machine mTLS certificates validated during TLS handshake; role extracted from certificate CN</t>
  </si>
  <si>
    <t>SR-18, SR-22, NFR-15</t>
  </si>
  <si>
    <t>V12.1.4</t>
  </si>
  <si>
    <t>Verify that proper certification revocation, such as Online Certificate Status Protocol (OCSP) Stapling, is enabled and configured.</t>
  </si>
  <si>
    <t>CRL/OCSP revocation checking implemented for machine certificates; revocation enforced on machine decommissioning</t>
  </si>
  <si>
    <t>SR-68, SR-70</t>
  </si>
  <si>
    <t>V12.1.5</t>
  </si>
  <si>
    <t>Verify that Encrypted Client Hello (ECH) is enabled in the application's TLS settings to prevent exposure of sensitive metadata, such as the Server Name Indication (SNI), during TLS handshake processes.</t>
  </si>
  <si>
    <t>ECH not required for internal API; SNI exposure acceptable for trusted machine endpoints</t>
  </si>
  <si>
    <t>V12.2</t>
  </si>
  <si>
    <t>HTTPS Communication with External Facing Services</t>
  </si>
  <si>
    <t>V12.2.1</t>
  </si>
  <si>
    <t>Verify that TLS is used for all connectivity between a client and external facing, HTTP-based services, and does not fall back to insecure or unencrypted communications.</t>
  </si>
  <si>
    <t>All customer, operator, and admin endpoints require HTTPS; Payment Gateway integration uses TLS 1.2+; no fallback to HTTP</t>
  </si>
  <si>
    <t>SR-17, SR-35, SR-36</t>
  </si>
  <si>
    <t>V12.2.2</t>
  </si>
  <si>
    <t>Verify that external facing services use publicly trusted TLS certificates.</t>
  </si>
  <si>
    <t>Payment Gateway callbacks verified via publicly trusted certificates; certificate chain validation enforced; self-signed certs rejected</t>
  </si>
  <si>
    <t>SR-35</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</si>
  <si>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</si>
  <si>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</si>
  <si>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</si>
  <si>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</si>
  <si>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MySQL connections use TLS 1.2+ with `sslMode=REQUIRED` in connection string; Payment Gateway calls over TLS 1.2+; no plaintext communication paths</t>
  </si>
  <si>
    <t>V12.3.2</t>
  </si>
  <si>
    <t>Verify that TLS clients validate certificates received before communicating with a TLS server.</t>
  </si>
  <si>
    <t>Spring Boot HttpClient configured with certificate validation; Payment Gateway certificate chain verified; self-signed certs from untrusted CAs rejected</t>
  </si>
  <si>
    <t>V12.3.3</t>
  </si>
  <si>
    <t>Verify that TLS or another appropriate transport encryption mechanism used for all connectivity between internal, HTTP-based services within the application, and does not fall back to insecure or unencrypted communications.</t>
  </si>
  <si>
    <t>Internal MySQL connections tunnel over TLS; Payment Gateway callbacks require HTTPS; fallback-to-HTTP prevented via Spring Boot security headers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</si>
  <si>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</si>
  <si>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</si>
  <si>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Machine mTLS certificates issued by internal CA; Tomcat TrustStore configured to trust only internal CA certificate; no other CAs accepted</t>
  </si>
  <si>
    <t>SR-18, SR-21, SR-22</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</si>
  <si>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</si>
  <si>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</si>
  <si>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mTLS enforced for all machine-to-API communication (DF7, DF8, EP2); client certificate identity extracted from CN and bound to `ROLE_MACHINE` authority; replay attacks prevented via TLS protocol</t>
  </si>
  <si>
    <t>SR-18, SR-23, SR-69</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</si>
  <si>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</si>
  <si>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</si>
  <si>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</si>
  <si>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</si>
  <si>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Documented in SR-21 and SR-22</t>
  </si>
  <si>
    <t>SR-21, SR-22</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</si>
  <si>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</si>
  <si>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</si>
  <si>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Not usage of connection pool</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</si>
  <si>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</si>
  <si>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</si>
  <si>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Discussed on the SR-36</t>
  </si>
  <si>
    <t>SR-36</t>
  </si>
  <si>
    <t>V13.1.4</t>
  </si>
  <si>
    <t>Verify that the application's documentation defines the secrets that are critical for the security of the application and a schedule for rotating them, based on the organization's threat model and business requirements.</t>
  </si>
  <si>
    <t>Rotation discussed on SR-30 and SR-04</t>
  </si>
  <si>
    <t>SR-30, SR-04</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</si>
  <si>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</si>
  <si>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</si>
  <si>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</si>
  <si>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</si>
  <si>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Backend authentication is enforced via mTLS and JWT</t>
  </si>
  <si>
    <t>SR-18, SR-22</t>
  </si>
  <si>
    <t>V13.2.2</t>
  </si>
  <si>
    <t>Verify that communications between backend application components, including local or operating system services, APIs, middleware, and data layers, are performed with accounts assigned the least necessary privileges.</t>
  </si>
  <si>
    <t>Least privilege is enforced via role-based access control</t>
  </si>
  <si>
    <t>SR-02, SR-12</t>
  </si>
  <si>
    <t>V13.2.3</t>
  </si>
  <si>
    <t>Verify that if a credential has to be used for service authentication, the credential being used by the consumer is not a default credential (e.g., root/root or admin/admin).</t>
  </si>
  <si>
    <t>Default credentials are prohibited in deployment scripts</t>
  </si>
  <si>
    <t>SR-11</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</si>
  <si>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</si>
  <si>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</si>
  <si>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Not implemented</t>
  </si>
  <si>
    <t>V13.2.5</t>
  </si>
  <si>
    <t>Verify that the web or application server is configured with an allowlist of resources or systems to which the server can send requests or load data or files from.</t>
  </si>
  <si>
    <t>Allowlist configuration is enforced at the application layer</t>
  </si>
  <si>
    <t>SR-40</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</si>
  <si>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</si>
  <si>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</si>
  <si>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Not discussed</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</si>
  <si>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</si>
  <si>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</si>
  <si>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</si>
  <si>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</si>
  <si>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 are stored in environment variables and managed via Vault</t>
  </si>
  <si>
    <t>SR-30, SR-11</t>
  </si>
  <si>
    <t>V13.3.2</t>
  </si>
  <si>
    <t>Verify that access to secret assets adheres to the principle of least privilege.</t>
  </si>
  <si>
    <t>Access to secrets is restricted to specific roles</t>
  </si>
  <si>
    <t>SR-12, SR-30</t>
  </si>
  <si>
    <t>V13.3.3</t>
  </si>
  <si>
    <t>Verify that all cryptographic operations are performed using an isolated security module (such as a vault or hardware security module) to securely manage and protect key material from exposure outside of the security module.</t>
  </si>
  <si>
    <t>Cryptographic operations are isolated via Vault.</t>
  </si>
  <si>
    <t>V13.3.4</t>
  </si>
  <si>
    <t>Verify that secrets are configured to expire and be rotated based on the application's documentation.</t>
  </si>
  <si>
    <t>Secret rotation is scheduled quarterly</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</si>
  <si>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</si>
  <si>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</si>
  <si>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</si>
  <si>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</si>
  <si>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Source control metadata (.git) is present and may be exposed if not properly restricted</t>
  </si>
  <si>
    <t>SR-46</t>
  </si>
  <si>
    <t>V13.4.2</t>
  </si>
  <si>
    <t>Verify that debug modes are disabled for all components in production environments to prevent exposure of debugging features and information leakage.</t>
  </si>
  <si>
    <t>Debug mode will be disabled in production</t>
  </si>
  <si>
    <t>V13.4.3</t>
  </si>
  <si>
    <t>Verify that web servers do not expose directory listings to clients unless explicitly intended.</t>
  </si>
  <si>
    <t>Directory listing will be disabled in web server configuration</t>
  </si>
  <si>
    <t>V13.4.4</t>
  </si>
  <si>
    <t>Verify that using the HTTP TRACE method is not supported in production environments, to avoid potential information leakage.</t>
  </si>
  <si>
    <t>HTTP TRACE method will be disabled at web server configuration level</t>
  </si>
  <si>
    <t>SR-17, SR-46</t>
  </si>
  <si>
    <t>V13.4.5</t>
  </si>
  <si>
    <t>Verify that documentation (such as for internal APIs) and monitoring endpoints are not exposed unless explicitly intended.</t>
  </si>
  <si>
    <t>Internal documentation and monitoring endpoints will not be exposed publicly and will require authentication or be restricted to internal network</t>
  </si>
  <si>
    <t>V13.4.6</t>
  </si>
  <si>
    <t>Verify that the application does not expose detailed version information of backend components.</t>
  </si>
  <si>
    <t>Backend version information will be hidden by disabling server banners and removing version headers</t>
  </si>
  <si>
    <t>V13.4.7</t>
  </si>
  <si>
    <t>Verify that the web tier is configured to only serve files with specific file extensions to prevent unintentional information, configuration, and source code leakage.</t>
  </si>
  <si>
    <t>Web tier will enforce allowlist-based file serving to prevent exposure of sensitive files</t>
  </si>
  <si>
    <t>SR-27, SR-46</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</si>
  <si>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</si>
  <si>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</si>
  <si>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</si>
  <si>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</si>
  <si>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data such as JWT payloads, user credentials, and payment information are identified</t>
  </si>
  <si>
    <t>SR-13, SR-14</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</si>
  <si>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</si>
  <si>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</si>
  <si>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requirements are partially defined in the SR´s</t>
  </si>
  <si>
    <t>SR-13, SR-14, SR-41</t>
  </si>
  <si>
    <t>V14.2</t>
  </si>
  <si>
    <t>General Data Protection</t>
  </si>
  <si>
    <t>V14.2.1</t>
  </si>
  <si>
    <t>Verify that sensitive data is only sent to the server in the HTTP message body or header fields, and that the URL and query string do not contain sensitive information, such as an API key or session token.</t>
  </si>
  <si>
    <t>Sensitive data such as JWT tokens and payment details are sent in headers or body, not in URLs</t>
  </si>
  <si>
    <t>SR-03, SR-24</t>
  </si>
  <si>
    <t>V14.2.2</t>
  </si>
  <si>
    <t>Verify that the application prevents sensitive data from being cached in server components, such as load balancers and application caches, or ensures that the data is securely purged after use.</t>
  </si>
  <si>
    <t>Cache-control headers will be configured in Phase 2 to prevent sensitive data caching</t>
  </si>
  <si>
    <t>V14.2.3</t>
  </si>
  <si>
    <t>Verify that defined sensitive data is not sent to untrusted parties (e.g., user trackers) to prevent unwanted collection of data outside of the application's control.</t>
  </si>
  <si>
    <t>No third-party trackers are used. Sensitive data is only sent to trusted services such as the Payment Gateway</t>
  </si>
  <si>
    <t>SR-19</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</si>
  <si>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</si>
  <si>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</si>
  <si>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Controls such as encryption, access control, and retention are partially implemented</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</si>
  <si>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</si>
  <si>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</si>
  <si>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Cache-control headers will be configured to prevent caching of sensitive or dynamic content</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</si>
  <si>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</si>
  <si>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</si>
  <si>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Sensitive data such as passwords are excluded from API responses</t>
  </si>
  <si>
    <t>V14.2.7</t>
  </si>
  <si>
    <t>Verify that sensitive information is subject to data retention classification, ensuring that outdated or unnecessary data is deleted automatically, on a defined schedule, or as the situation requires.</t>
  </si>
  <si>
    <t>Retention policies for sensitive data will be implemented in Phase 2</t>
  </si>
  <si>
    <t>NFR-12</t>
  </si>
  <si>
    <t>V14.2.8</t>
  </si>
  <si>
    <t>Verify that sensitive information is removed from the metadata of user-submitted files unless storage is consented to by the user.</t>
  </si>
  <si>
    <t>The application does not process user-submitted files</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</si>
  <si>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</si>
  <si>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</si>
  <si>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</si>
  <si>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</si>
  <si>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The Clear-Site-Data header will be implemented in Phase 2</t>
  </si>
  <si>
    <t>SR-37</t>
  </si>
  <si>
    <t>V14.3.2</t>
  </si>
  <si>
    <t>Verify that the application sets sufficient anti-caching HTTP response header fields (i.e., Cache-Control: no-store) so that sensitive data is not cached in browsers.</t>
  </si>
  <si>
    <t>Cache-control headers will be configured to prevent browser caching of sensitive data</t>
  </si>
  <si>
    <t>V14.3.3</t>
  </si>
  <si>
    <t>Verify that data stored in browser storage (such as localStorage, sessionStorage, IndexedDB, or cookies) does not contain sensitive data, with the exception of session tokens.</t>
  </si>
  <si>
    <t>Sensitive data such as JWT tokens are stored in HttpOnly cookies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</si>
  <si>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</si>
  <si>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</si>
  <si>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</si>
  <si>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</si>
  <si>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Risk-based remediation time frames are defined in the documentation for third-party libraries</t>
  </si>
  <si>
    <t>SR-33, SR-34</t>
  </si>
  <si>
    <t>V15.1.2</t>
  </si>
  <si>
    <t>Verify that an inventory catalog, such as software bill of materials (SBOM), is maintained of all third-party libraries in use, including verifying that components come from pre-defined, trusted, and continually maintained repositories.</t>
  </si>
  <si>
    <t>SBOM is maintained, and dependencies are verified against trusted repositories</t>
  </si>
  <si>
    <t>SR-32, SR-34</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</si>
  <si>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</si>
  <si>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</si>
  <si>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Time-consuming functionality is documented with strategies to prevent availability loss</t>
  </si>
  <si>
    <t>SR-36, SR-31</t>
  </si>
  <si>
    <t>V15.1.4</t>
  </si>
  <si>
    <t>Verify that application documentation highlights third-party libraries which are considered to be "risky components".</t>
  </si>
  <si>
    <t>Risky third-party libraries are identified in the documentation</t>
  </si>
  <si>
    <t>SR-32, SR-33</t>
  </si>
  <si>
    <t>V15.1.5</t>
  </si>
  <si>
    <t>Verify that application documentation highlights parts of the application where "dangerous functionality" is being used.</t>
  </si>
  <si>
    <t>Dangerous functionality is documented with mitigation strategies</t>
  </si>
  <si>
    <t>SR-35, SR-36</t>
  </si>
  <si>
    <t>V15.2</t>
  </si>
  <si>
    <t>Security Architecture and Dependencies</t>
  </si>
  <si>
    <t>V15.2.1</t>
  </si>
  <si>
    <t>Verify that the application only contains components which have not breached the documented update and remediation time frames.</t>
  </si>
  <si>
    <t>Components are updated within defined remediation time frames</t>
  </si>
  <si>
    <t>V15.2.2</t>
  </si>
  <si>
    <t>Verify that the application has implemented defenses against loss of availability due to functionality which is time-consuming or resource-demanding, based on the documented security decisions and strategies for this.</t>
  </si>
  <si>
    <t>Defenses such as rate limiting and circuit breakers are implemented</t>
  </si>
  <si>
    <t>SR-30, SR-36</t>
  </si>
  <si>
    <t>V15.2.3</t>
  </si>
  <si>
    <t>Verify that the production environment only includes functionality that is required for the application to function, and does not expose extraneous functionality such as test code, sample snippets, and development functionality.</t>
  </si>
  <si>
    <t>Production environment excludes test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</si>
  <si>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</si>
  <si>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</si>
  <si>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Dependencies are sourced from trusted repositories to prevent dependency confusion</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</si>
  <si>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</si>
  <si>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</si>
  <si>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Protections such as sandboxing and containerization are implemented for risky components</t>
  </si>
  <si>
    <t>V15.3</t>
  </si>
  <si>
    <t>Defensive Coding</t>
  </si>
  <si>
    <t>V15.3.1</t>
  </si>
  <si>
    <t>Verify that the application only returns the required subset of fields from a data object. For example, it should not return an entire data object, as some individual fields should not be accessible to users.</t>
  </si>
  <si>
    <t>Only required fields are returned in API responses</t>
  </si>
  <si>
    <t>V15.3.2</t>
  </si>
  <si>
    <t>Verify that where the application backend makes calls to external URLs, it is configured to not follow redirects unless it is intended functionality.</t>
  </si>
  <si>
    <t>External URL calls do not follow redirects unless explicitly required</t>
  </si>
  <si>
    <t>SR-21, SR-36</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</si>
  <si>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</si>
  <si>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</si>
  <si>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DTOs are used to limit fields and prevent mass assignment</t>
  </si>
  <si>
    <t>SR-29, SR-28</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</si>
  <si>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</si>
  <si>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</si>
  <si>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Original IP address is transferred securely and used for logging and rate limiting</t>
  </si>
  <si>
    <t>SR-37, SR-46</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</si>
  <si>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</si>
  <si>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</si>
  <si>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Strict type checks and equality operations are enforced</t>
  </si>
  <si>
    <t>V15.3.6</t>
  </si>
  <si>
    <t>Verify that JavaScript code is written in a way that prevents prototype pollution, for example, by using Set() or Map() instead of object literals.</t>
  </si>
  <si>
    <t>JavaScript code uses Set or Map to prevent prototype pollution</t>
  </si>
  <si>
    <t>V15.3.7</t>
  </si>
  <si>
    <t>Verify that the application has defenses against HTTP parameter pollution attacks, particularly if the application framework makes no distinction about the source of request parameters (query string, body parameters, cookies, or header fields).</t>
  </si>
  <si>
    <t>HTTP parameter pollution is mitigated by strict parameter validation</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</si>
  <si>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</si>
  <si>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</si>
  <si>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</si>
  <si>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</si>
  <si>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Thread-safe types and synchronization mechanisms are used</t>
  </si>
  <si>
    <t>SR-15, SR-07</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</si>
  <si>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</si>
  <si>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</si>
  <si>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Atomic operations are used to prevent TOCTOU race conditions</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</si>
  <si>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</si>
  <si>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</si>
  <si>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Locking mechanisms are consistently applied to avoid deadlocks</t>
  </si>
  <si>
    <t>V15.4.4</t>
  </si>
  <si>
    <t>Verify that resource allocation policies prevent thread starvation by ensuring fair access to resources, such as by leveraging thread pools, allowing lower-priority threads to proceed within a reasonable timeframe.</t>
  </si>
  <si>
    <t>Thread pools are used to ensure fair resource allocation</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</si>
  <si>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</si>
  <si>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</si>
  <si>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</si>
  <si>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</si>
  <si>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inventory will be created during Phase 2, documenting all layers and access controls.</t>
  </si>
  <si>
    <t>SR-37, SR-43</t>
  </si>
  <si>
    <t>V16.2</t>
  </si>
  <si>
    <t>General Logging</t>
  </si>
  <si>
    <t>V16.2.1</t>
  </si>
  <si>
    <t>Verify that each log entry includes necessary metadata (such as when, where, who, what) that would allow for a detailed investigation of the timeline when an event happens.</t>
  </si>
  <si>
    <t>Metadata such as timestamps, user IDs, and event types are included in logs.</t>
  </si>
  <si>
    <t>SR-37, SR-38</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</si>
  <si>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</si>
  <si>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</si>
  <si>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Time synchronization will be enforced using NTP in Phase 2.</t>
  </si>
  <si>
    <t>V16.2.3</t>
  </si>
  <si>
    <t>Verify that the application only stores or broadcasts logs to the files and services that are documented in the log inventory.</t>
  </si>
  <si>
    <t>Log storage locations will be documented in the logging inventory.</t>
  </si>
  <si>
    <t>V16.2.4</t>
  </si>
  <si>
    <t>Verify that logs can be read and correlated by the log processor that is in use, preferably by using a common logging format.</t>
  </si>
  <si>
    <t>Logs will be formatted in JSON for compatibility with the log processor.</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</si>
  <si>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</si>
  <si>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</si>
  <si>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Sensitive data such as passwords and tokens are hashed or masked in logs.</t>
  </si>
  <si>
    <t>SR-45</t>
  </si>
  <si>
    <t>V16.3</t>
  </si>
  <si>
    <t>Security Events</t>
  </si>
  <si>
    <t>V16.3.1</t>
  </si>
  <si>
    <t>Verify that all authentication operations are logged, including successful and unsuccessful attempts. Additional metadata, such as the type of authentication or factors used, should also be collected.</t>
  </si>
  <si>
    <t>Authentication events are logged, including metadata such as IP and timestamps.</t>
  </si>
  <si>
    <t>V16.3.2</t>
  </si>
  <si>
    <t>Verify that failed authorization attempts are logged. For L3, this must include logging all authorization decisions, including logging when sensitive data is accessed (without logging the sensitive data itself).</t>
  </si>
  <si>
    <t>Failed authorization attempts are logged with relevant metadata.</t>
  </si>
  <si>
    <t>SR-38</t>
  </si>
  <si>
    <t>V16.3.3</t>
  </si>
  <si>
    <t>Verify that the application logs the security events that are defined in the documentation and also logs attempts to bypass the security controls, such as input validation, business logic, and anti-automation.</t>
  </si>
  <si>
    <t>Security events will be expanded to include bypass attempts in Phase 2.</t>
  </si>
  <si>
    <t>V16.3.4</t>
  </si>
  <si>
    <t>Verify that the application logs unexpected errors and security control failures such as backend TLS failures.</t>
  </si>
  <si>
    <t>Unexpected errors and TLS failures will be logged in Phase 2.</t>
  </si>
  <si>
    <t>V16.4</t>
  </si>
  <si>
    <t>Log Protection</t>
  </si>
  <si>
    <t>V16.4.1</t>
  </si>
  <si>
    <t>Verify that all logging components appropriately encode data to prevent log injection.</t>
  </si>
  <si>
    <t>Log encoding is applied to prevent injection attacks.</t>
  </si>
  <si>
    <t>SR-41</t>
  </si>
  <si>
    <t>V16.4.2</t>
  </si>
  <si>
    <t>Verify that logs are protected from unauthorized access and cannot be modified.</t>
  </si>
  <si>
    <t>Logs are stored in restricted directories with appropriate permissions.</t>
  </si>
  <si>
    <t>V16.4.3</t>
  </si>
  <si>
    <t>Verify that logs are securely transmitted to a logically separate system for analysis, detection, alerting, and escalation. The aim is to ensure that if the application is breached, the logs are not compromised.</t>
  </si>
  <si>
    <t>Logs will be transmitted to a centralized SIEM in Phase 2.</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</si>
  <si>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</si>
  <si>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</si>
  <si>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</si>
  <si>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</si>
  <si>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Generic error responses implemented</t>
  </si>
  <si>
    <t>V16.5.2</t>
  </si>
  <si>
    <t>Verify that the application continues to operate securely when external resource access fails, for example, by using patterns such as circuit breakers or graceful degradation.</t>
  </si>
  <si>
    <t>Circuit breakers will be implemented for external resource failures in Phase 2.</t>
  </si>
  <si>
    <t>V16.5.3</t>
  </si>
  <si>
    <t>Verify that the application fails gracefully and securely, including when an exception occurs, preventing fail-open conditions such as processing a transaction despite errors resulting from validation logic.</t>
  </si>
  <si>
    <t>Graceful failure mechanisms will be implemented in Phase 2.</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</si>
  <si>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</si>
  <si>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</si>
  <si>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A global exception handler will be implemented in Phase 2.</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</si>
  <si>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</si>
  <si>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</si>
  <si>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</si>
  <si>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</si>
  <si>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TURN server configuration will restrict access to public IPs only</t>
  </si>
  <si>
    <t>SR-21, SR-46</t>
  </si>
  <si>
    <t>V17.1.2</t>
  </si>
  <si>
    <t>Verify that the Traversal Using Relays around NAT (TURN) service is not susceptible to resource exhaustion when legitimate users attempt to open a large number of ports on the TURN server.</t>
  </si>
  <si>
    <t>Rate limiting will be applied to prevent resource exhaustion</t>
  </si>
  <si>
    <t>V17.2</t>
  </si>
  <si>
    <t>Media</t>
  </si>
  <si>
    <t>V17.2.1</t>
  </si>
  <si>
    <t>Verify that the key for the Datagram Transport Layer Security (DTLS) certificate is managed and protected based on the documented policy for management of cryptographic keys.</t>
  </si>
  <si>
    <t>DTLS certificates will be managed using a secure key management policy</t>
  </si>
  <si>
    <t>SR-20</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</si>
  <si>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</si>
  <si>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</si>
  <si>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DTLS-SRTP will use approved cipher suites as per SR-21</t>
  </si>
  <si>
    <t>SR-21</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</si>
  <si>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</si>
  <si>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</si>
  <si>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SRTP authentication will be enforced to prevent injection attacks</t>
  </si>
  <si>
    <t>SR-18, SR-21</t>
  </si>
  <si>
    <t>V17.2.4</t>
  </si>
  <si>
    <t>Verify that the media server is able to continue processing incoming media traffic when encountering malformed Secure Real-time Transport Protocol (SRTP) packets.</t>
  </si>
  <si>
    <t>Error handling will be implemented to ensure resilience against malformed packets</t>
  </si>
  <si>
    <t>V17.2.5</t>
  </si>
  <si>
    <t>Verify that the media server is able to continue processing incoming media traffic during a flood of Secure Real-time Transport Protocol (SRTP) packets from legitimate users.</t>
  </si>
  <si>
    <t>Rate limiting will be applied to mitigate flood attacks</t>
  </si>
  <si>
    <t>V17.2.6</t>
  </si>
  <si>
    <t>Verify that the media server is not susceptible to the "ClientHello" Race Condition vulnerability in Datagram Transport Layer Security (DTLS) by checking if the media server is publicly known to be vulnerable or by performing the race condition test.</t>
  </si>
  <si>
    <t>The project does not use DTLS in scenarios susceptible to this vulnerability</t>
  </si>
  <si>
    <t>V17.2.7</t>
  </si>
  <si>
    <t>Verify that any audio or video recording mechanisms associated with the media server are able to continue processing incoming media traffic during a flood of Secure Real-time Transport Protocol (SRTP) packets from legitimate users.</t>
  </si>
  <si>
    <t>Resilience mechanisms will be implemented to handle high traffic</t>
  </si>
  <si>
    <t>V17.2.8</t>
  </si>
  <si>
    <t>Verify that the Datagram Transport Layer Security (DTLS) certificate is checked against the Session Description Protocol (SDP) fingerprint attribute, terminating the media stream if the check fails, to ensure the authenticity of the media stream.</t>
  </si>
  <si>
    <t>DTLS certificate validation will be enforced</t>
  </si>
  <si>
    <t>V17.3</t>
  </si>
  <si>
    <t>Signaling</t>
  </si>
  <si>
    <t>V17.3.1</t>
  </si>
  <si>
    <t>Verify that the signaling server is able to continue processing legitimate incoming signaling messages during a flood attack. This should be achieved by implementing rate limiting at the signaling level.</t>
  </si>
  <si>
    <t>Rate limiting will be applied to signaling messages</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</si>
  <si>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</si>
  <si>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</si>
  <si>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Input validation and error handling will be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</si>
</sst>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rgb="FF000000"/>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0" borderId="0" xfId="0" applyFont="1"/>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[1]Summary!$E$6:$E$22</c:f>
              <c:numCache>
                <c:formatCode>0%</c:formatCode>
                <c:ptCount val="17"/>
                <c:pt idx="0">
                  <c:v>0.25</c:v>
                </c:pt>
                <c:pt idx="1">
                  <c:v>0.25</c:v>
                </c:pt>
                <c:pt idx="2">
                  <c:v>0.875</c:v>
                </c:pt>
                <c:pt idx="3">
                  <c:v>0.5</c:v>
                </c:pt>
                <c:pt idx="4">
                  <c:v>0</c:v>
                </c:pt>
                <c:pt idx="5">
                  <c:v>0.15384615384615385</c:v>
                </c:pt>
                <c:pt idx="6">
                  <c:v>0.66666666666666663</c:v>
                </c:pt>
                <c:pt idx="7">
                  <c:v>0.5</c:v>
                </c:pt>
                <c:pt idx="8">
                  <c:v>1</c:v>
                </c:pt>
                <c:pt idx="9">
                  <c:v>0.2</c:v>
                </c:pt>
                <c:pt idx="10">
                  <c:v>1</c:v>
                </c:pt>
                <c:pt idx="11">
                  <c:v>0</c:v>
                </c:pt>
                <c:pt idx="12">
                  <c:v>0</c:v>
                </c:pt>
                <c:pt idx="13">
                  <c:v>0.5</c:v>
                </c:pt>
                <c:pt idx="14">
                  <c:v>0</c:v>
                </c:pt>
                <c:pt idx="15" formatCode="General">
                  <c:v>0</c:v>
                </c:pt>
                <c:pt idx="16" formatCode="General">
                  <c:v>0</c:v>
                </c:pt>
              </c:numCache>
            </c:numRef>
          </c:val>
          <c:extLst>
            <c:ext xmlns:c16="http://schemas.microsoft.com/office/drawing/2014/chart" uri="{C3380CC4-5D6E-409C-BE32-E72D297353CC}">
              <c16:uniqueId val="{00000000-4C4F-4BE9-BA56-12C464F46A51}"/>
            </c:ext>
          </c:extLst>
        </c:ser>
        <c:ser>
          <c:idx val="1"/>
          <c:order val="1"/>
          <c:tx>
            <c:strRef>
              <c:f>[1]Summary!$H$5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[1]Summary!$H$6:$H$22</c:f>
              <c:numCache>
                <c:formatCode>0%</c:formatCode>
                <c:ptCount val="17"/>
                <c:pt idx="0">
                  <c:v>0.26315789473684209</c:v>
                </c:pt>
                <c:pt idx="1">
                  <c:v>0.5714285714285714</c:v>
                </c:pt>
                <c:pt idx="2">
                  <c:v>0.36363636363636365</c:v>
                </c:pt>
                <c:pt idx="3">
                  <c:v>0.375</c:v>
                </c:pt>
                <c:pt idx="4">
                  <c:v>0</c:v>
                </c:pt>
                <c:pt idx="5">
                  <c:v>4.5454545454545456E-2</c:v>
                </c:pt>
                <c:pt idx="6">
                  <c:v>8.3333333333333329E-2</c:v>
                </c:pt>
                <c:pt idx="7">
                  <c:v>0</c:v>
                </c:pt>
                <c:pt idx="8">
                  <c:v>0.66666666666666663</c:v>
                </c:pt>
                <c:pt idx="9">
                  <c:v>0.25</c:v>
                </c:pt>
                <c:pt idx="10">
                  <c:v>0.54545454545454541</c:v>
                </c:pt>
                <c:pt idx="11">
                  <c:v>0</c:v>
                </c:pt>
                <c:pt idx="12">
                  <c:v>0</c:v>
                </c:pt>
                <c:pt idx="13">
                  <c:v>0.2857142857142857</c:v>
                </c:pt>
                <c:pt idx="14">
                  <c:v>0</c:v>
                </c:pt>
                <c:pt idx="15">
                  <c:v>0.375</c:v>
                </c:pt>
                <c:pt idx="16">
                  <c:v>0</c:v>
                </c:pt>
              </c:numCache>
            </c:numRef>
          </c:val>
          <c:extLst>
            <c:ext xmlns:c16="http://schemas.microsoft.com/office/drawing/2014/chart" uri="{C3380CC4-5D6E-409C-BE32-E72D297353CC}">
              <c16:uniqueId val="{00000001-4C4F-4BE9-BA56-12C464F46A51}"/>
            </c:ext>
          </c:extLst>
        </c:ser>
        <c:ser>
          <c:idx val="2"/>
          <c:order val="2"/>
          <c:tx>
            <c:strRef>
              <c:f>[1]Summary!$K$5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[1]Summary!$K$6:$K$21</c:f>
              <c:numCache>
                <c:formatCode>0%</c:formatCode>
                <c:ptCount val="16"/>
                <c:pt idx="0">
                  <c:v>0.33333333333333331</c:v>
                </c:pt>
                <c:pt idx="1">
                  <c:v>0</c:v>
                </c:pt>
                <c:pt idx="2">
                  <c:v>0.33333333333333331</c:v>
                </c:pt>
                <c:pt idx="3">
                  <c:v>0.66666666666666663</c:v>
                </c:pt>
                <c:pt idx="4">
                  <c:v>0</c:v>
                </c:pt>
                <c:pt idx="5">
                  <c:v>0</c:v>
                </c:pt>
                <c:pt idx="6">
                  <c:v>0</c:v>
                </c:pt>
                <c:pt idx="7">
                  <c:v>0.16666666666666666</c:v>
                </c:pt>
                <c:pt idx="8" formatCode="General">
                  <c:v>0</c:v>
                </c:pt>
                <c:pt idx="9">
                  <c:v>0.14285714285714285</c:v>
                </c:pt>
                <c:pt idx="10">
                  <c:v>0.4</c:v>
                </c:pt>
                <c:pt idx="11">
                  <c:v>0</c:v>
                </c:pt>
                <c:pt idx="12">
                  <c:v>0</c:v>
                </c:pt>
                <c:pt idx="13">
                  <c:v>0.25</c:v>
                </c:pt>
                <c:pt idx="14">
                  <c:v>0</c:v>
                </c:pt>
                <c:pt idx="15">
                  <c:v>0</c:v>
                </c:pt>
              </c:numCache>
            </c:numRef>
          </c:val>
          <c:extLst>
            <c:ext xmlns:c16="http://schemas.microsoft.com/office/drawing/2014/chart" uri="{C3380CC4-5D6E-409C-BE32-E72D297353CC}">
              <c16:uniqueId val="{00000002-4C4F-4BE9-BA56-12C464F46A51}"/>
            </c:ext>
          </c:extLst>
        </c:ser>
        <c:ser>
          <c:idx val="3"/>
          <c:order val="3"/>
          <c:tx>
            <c:strRef>
              <c:f>[1]Summary!$M$5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[1]Summary!$M$6:$M$22</c:f>
              <c:numCache>
                <c:formatCode>0%</c:formatCode>
                <c:ptCount val="17"/>
                <c:pt idx="0">
                  <c:v>0.26666666666666666</c:v>
                </c:pt>
                <c:pt idx="1">
                  <c:v>0.38461538461538464</c:v>
                </c:pt>
                <c:pt idx="2">
                  <c:v>0.4838709677419355</c:v>
                </c:pt>
                <c:pt idx="3">
                  <c:v>0.5</c:v>
                </c:pt>
                <c:pt idx="4">
                  <c:v>0</c:v>
                </c:pt>
                <c:pt idx="5">
                  <c:v>6.3829787234042548E-2</c:v>
                </c:pt>
                <c:pt idx="6">
                  <c:v>0.26315789473684209</c:v>
                </c:pt>
                <c:pt idx="7">
                  <c:v>0.23076923076923078</c:v>
                </c:pt>
                <c:pt idx="8">
                  <c:v>0.8571428571428571</c:v>
                </c:pt>
                <c:pt idx="9">
                  <c:v>0.22222222222222221</c:v>
                </c:pt>
                <c:pt idx="10">
                  <c:v>0.54166666666666663</c:v>
                </c:pt>
                <c:pt idx="11">
                  <c:v>0</c:v>
                </c:pt>
                <c:pt idx="12">
                  <c:v>0</c:v>
                </c:pt>
                <c:pt idx="13">
                  <c:v>0.30769230769230771</c:v>
                </c:pt>
                <c:pt idx="14">
                  <c:v>0</c:v>
                </c:pt>
                <c:pt idx="15">
                  <c:v>0.35294117647058826</c:v>
                </c:pt>
                <c:pt idx="16">
                  <c:v>0</c:v>
                </c:pt>
              </c:numCache>
            </c:numRef>
          </c:val>
          <c:extLst>
            <c:ext xmlns:c16="http://schemas.microsoft.com/office/drawing/2014/chart" uri="{C3380CC4-5D6E-409C-BE32-E72D297353CC}">
              <c16:uniqueId val="{00000003-4C4F-4BE9-BA56-12C464F46A51}"/>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13</xdr:col>
      <xdr:colOff>13691</xdr:colOff>
      <xdr:row>47</xdr:row>
      <xdr:rowOff>110171</xdr:rowOff>
    </xdr:to>
    <xdr:graphicFrame macro="">
      <xdr:nvGraphicFramePr>
        <xdr:cNvPr id="3" name="Gráfico 2">
          <a:extLst>
            <a:ext uri="{FF2B5EF4-FFF2-40B4-BE49-F238E27FC236}">
              <a16:creationId xmlns:a16="http://schemas.microsoft.com/office/drawing/2014/main" id="{3D0BC321-23C2-43A6-A75E-72BDB21C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225;rio%20Zoio\Downloads\ASVS_5.0_Tracker1.xlsx" TargetMode="External"/><Relationship Id="rId1" Type="http://schemas.openxmlformats.org/officeDocument/2006/relationships/externalLinkPath" Target="file:///C:\Users\M&#225;rio%20Zoio\Downloads\ASVS_5.0_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V1 - Encoding and Sanitization"/>
      <sheetName val="V2 - Validation and Business Lo"/>
      <sheetName val="V3 - Web Frontend Security"/>
      <sheetName val="V4 - API and Web Service"/>
      <sheetName val="V5 - File Handling"/>
      <sheetName val="V6 - Authentication"/>
      <sheetName val="V7 - Session Management"/>
      <sheetName val="V8 - Authorization"/>
      <sheetName val="V9 - Self-contained Tokens"/>
      <sheetName val="V10 - OAuth and OIDC"/>
      <sheetName val="V11 - Cryptography"/>
      <sheetName val="V12 - Secure Communication"/>
      <sheetName val="V13 - Configuration"/>
      <sheetName val="V14 - Data Protection"/>
      <sheetName val="V15 - Secure Coding and Archite"/>
      <sheetName val="V16 - Security Logging and Erro"/>
      <sheetName val="V17 - WebRTC"/>
    </sheetNames>
    <sheetDataSet>
      <sheetData sheetId="0">
        <row r="5">
          <cell r="E5" t="str">
            <v>L1
%</v>
          </cell>
          <cell r="H5" t="str">
            <v>L2
%</v>
          </cell>
          <cell r="K5" t="str">
            <v>L3
%</v>
          </cell>
          <cell r="M5" t="str">
            <v>Overall
%</v>
          </cell>
        </row>
        <row r="6">
          <cell r="A6" t="str">
            <v>V1 – Encoding and Sanitization</v>
          </cell>
          <cell r="E6">
            <v>0.25</v>
          </cell>
          <cell r="H6">
            <v>0.26315789473684209</v>
          </cell>
          <cell r="K6">
            <v>0.33333333333333331</v>
          </cell>
          <cell r="M6">
            <v>0.26666666666666666</v>
          </cell>
        </row>
        <row r="7">
          <cell r="A7" t="str">
            <v>V2 – Validation and Business Logic</v>
          </cell>
          <cell r="E7">
            <v>0.25</v>
          </cell>
          <cell r="H7">
            <v>0.5714285714285714</v>
          </cell>
          <cell r="K7">
            <v>0</v>
          </cell>
          <cell r="M7">
            <v>0.38461538461538464</v>
          </cell>
        </row>
        <row r="8">
          <cell r="A8" t="str">
            <v>V3 – Web Frontend Security</v>
          </cell>
          <cell r="E8">
            <v>0.875</v>
          </cell>
          <cell r="H8">
            <v>0.36363636363636365</v>
          </cell>
          <cell r="K8">
            <v>0.33333333333333331</v>
          </cell>
          <cell r="M8">
            <v>0.4838709677419355</v>
          </cell>
        </row>
        <row r="9">
          <cell r="A9" t="str">
            <v>V4 – API and Web Service</v>
          </cell>
          <cell r="E9">
            <v>0.5</v>
          </cell>
          <cell r="H9">
            <v>0.375</v>
          </cell>
          <cell r="K9">
            <v>0.66666666666666663</v>
          </cell>
          <cell r="M9">
            <v>0.5</v>
          </cell>
        </row>
        <row r="10">
          <cell r="A10" t="str">
            <v>V5 – File Handling</v>
          </cell>
          <cell r="E10">
            <v>0</v>
          </cell>
          <cell r="H10">
            <v>0</v>
          </cell>
          <cell r="K10">
            <v>0</v>
          </cell>
          <cell r="M10">
            <v>0</v>
          </cell>
        </row>
        <row r="11">
          <cell r="A11" t="str">
            <v>V6 – Authentication</v>
          </cell>
          <cell r="E11">
            <v>0.15384615384615385</v>
          </cell>
          <cell r="H11">
            <v>4.5454545454545456E-2</v>
          </cell>
          <cell r="K11">
            <v>0</v>
          </cell>
          <cell r="M11">
            <v>6.3829787234042548E-2</v>
          </cell>
        </row>
        <row r="12">
          <cell r="A12" t="str">
            <v>V7 – Session Management</v>
          </cell>
          <cell r="E12">
            <v>0.66666666666666663</v>
          </cell>
          <cell r="H12">
            <v>8.3333333333333329E-2</v>
          </cell>
          <cell r="K12">
            <v>0</v>
          </cell>
          <cell r="M12">
            <v>0.26315789473684209</v>
          </cell>
        </row>
        <row r="13">
          <cell r="A13" t="str">
            <v>V8 – Authorization</v>
          </cell>
          <cell r="E13">
            <v>0.5</v>
          </cell>
          <cell r="H13">
            <v>0</v>
          </cell>
          <cell r="K13">
            <v>0.16666666666666666</v>
          </cell>
          <cell r="M13">
            <v>0.23076923076923078</v>
          </cell>
        </row>
        <row r="14">
          <cell r="A14" t="str">
            <v>V9 – Self-contained Tokens</v>
          </cell>
          <cell r="E14">
            <v>1</v>
          </cell>
          <cell r="H14">
            <v>0.66666666666666663</v>
          </cell>
          <cell r="K14" t="str">
            <v>N/A</v>
          </cell>
          <cell r="M14">
            <v>0.8571428571428571</v>
          </cell>
        </row>
        <row r="15">
          <cell r="A15" t="str">
            <v>V10 – OAuth and OIDC</v>
          </cell>
          <cell r="E15">
            <v>0.2</v>
          </cell>
          <cell r="H15">
            <v>0.25</v>
          </cell>
          <cell r="K15">
            <v>0.14285714285714285</v>
          </cell>
          <cell r="M15">
            <v>0.22222222222222221</v>
          </cell>
        </row>
        <row r="16">
          <cell r="A16" t="str">
            <v>V11 – Cryptography</v>
          </cell>
          <cell r="E16">
            <v>1</v>
          </cell>
          <cell r="H16">
            <v>0.54545454545454541</v>
          </cell>
          <cell r="K16">
            <v>0.4</v>
          </cell>
          <cell r="M16">
            <v>0.54166666666666663</v>
          </cell>
        </row>
        <row r="17">
          <cell r="A17" t="str">
            <v>V12 – Secure Communication</v>
          </cell>
          <cell r="E17">
            <v>0</v>
          </cell>
          <cell r="H17">
            <v>0</v>
          </cell>
          <cell r="K17">
            <v>0</v>
          </cell>
          <cell r="M17">
            <v>0</v>
          </cell>
        </row>
        <row r="18">
          <cell r="A18" t="str">
            <v>V13 – Configuration</v>
          </cell>
          <cell r="E18">
            <v>0</v>
          </cell>
          <cell r="H18">
            <v>0</v>
          </cell>
          <cell r="K18">
            <v>0</v>
          </cell>
          <cell r="M18">
            <v>0</v>
          </cell>
        </row>
        <row r="19">
          <cell r="A19" t="str">
            <v>V14 – Data Protection</v>
          </cell>
          <cell r="E19">
            <v>0.5</v>
          </cell>
          <cell r="H19">
            <v>0.2857142857142857</v>
          </cell>
          <cell r="K19">
            <v>0.25</v>
          </cell>
          <cell r="M19">
            <v>0.30769230769230771</v>
          </cell>
        </row>
        <row r="20">
          <cell r="A20" t="str">
            <v>V15 – Secure Coding and Architecture</v>
          </cell>
          <cell r="E20">
            <v>0</v>
          </cell>
          <cell r="H20">
            <v>0</v>
          </cell>
          <cell r="K20">
            <v>0</v>
          </cell>
          <cell r="M20">
            <v>0</v>
          </cell>
        </row>
        <row r="21">
          <cell r="A21" t="str">
            <v>V16 – Security Logging and Error Handling</v>
          </cell>
          <cell r="E21" t="str">
            <v>N/A</v>
          </cell>
          <cell r="H21">
            <v>0.375</v>
          </cell>
          <cell r="K21">
            <v>0</v>
          </cell>
          <cell r="M21">
            <v>0.35294117647058826</v>
          </cell>
        </row>
        <row r="22">
          <cell r="A22" t="str">
            <v>V17 – WebRTC</v>
          </cell>
          <cell r="E22" t="str">
            <v>N/A</v>
          </cell>
          <cell r="H22">
            <v>0</v>
          </cell>
          <cell r="M2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3"/>
  <sheetViews>
    <sheetView showGridLines="0" tabSelected="1" zoomScale="55" zoomScaleNormal="55" workbookViewId="0">
      <selection activeCell="R37" sqref="R37"/>
    </sheetView>
  </sheetViews>
  <sheetFormatPr defaultColWidth="8.5546875" defaultRowHeight="14.4" x14ac:dyDescent="0.3"/>
  <cols>
    <col min="1" max="1" width="34" customWidth="1"/>
    <col min="2" max="13" width="11" customWidth="1"/>
  </cols>
  <sheetData>
    <row r="1" spans="1:37" ht="36" customHeight="1" x14ac:dyDescent="0.3">
      <c r="A1" s="25" t="s">
        <v>0</v>
      </c>
      <c r="B1" s="26"/>
      <c r="C1" s="26"/>
      <c r="D1" s="26"/>
      <c r="E1" s="26"/>
      <c r="F1" s="26"/>
      <c r="G1" s="26"/>
      <c r="H1" s="26"/>
      <c r="I1" s="26"/>
      <c r="J1" s="26"/>
      <c r="K1" s="26"/>
      <c r="L1" s="26"/>
      <c r="M1" s="26"/>
      <c r="N1" s="26"/>
      <c r="O1" s="26"/>
      <c r="P1" s="26"/>
    </row>
    <row r="2" spans="1:37" ht="19.95" customHeight="1" x14ac:dyDescent="0.3">
      <c r="A2" s="28"/>
      <c r="B2" s="26"/>
      <c r="C2" s="26"/>
      <c r="D2" s="26"/>
      <c r="E2" s="26"/>
      <c r="F2" s="26"/>
      <c r="G2" s="26"/>
      <c r="H2" s="26"/>
      <c r="I2" s="26"/>
      <c r="J2" s="26"/>
      <c r="K2" s="26"/>
      <c r="L2" s="26"/>
      <c r="M2" s="26"/>
      <c r="N2" s="26"/>
      <c r="O2" s="26"/>
      <c r="P2" s="26"/>
    </row>
    <row r="3" spans="1:37" ht="18" customHeight="1" x14ac:dyDescent="0.3">
      <c r="A3" s="27"/>
      <c r="B3" s="26"/>
      <c r="C3" s="1"/>
      <c r="E3" s="1"/>
      <c r="G3" s="1"/>
      <c r="I3" s="1"/>
      <c r="K3" s="1"/>
      <c r="M3" s="1"/>
      <c r="O3" s="1"/>
    </row>
    <row r="5" spans="1:37" ht="31.95"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37" ht="18" customHeight="1" x14ac:dyDescent="0.3">
      <c r="A6" s="3" t="s">
        <v>14</v>
      </c>
      <c r="B6" s="4">
        <v>30</v>
      </c>
      <c r="C6" s="4">
        <v>8</v>
      </c>
      <c r="D6" s="4">
        <f>COUNTIFS('V1 - Encoding and Sanitization'!$F$2:$F$36,"Compliant",'V1 - Encoding and Sanitization'!$E$2:$E$36,1)</f>
        <v>2</v>
      </c>
      <c r="E6" s="5">
        <f t="shared" ref="E6:E20" si="0">IF(C6=0,"",D6/C6)</f>
        <v>0.25</v>
      </c>
      <c r="F6" s="4">
        <v>19</v>
      </c>
      <c r="G6" s="4">
        <f>COUNTIFS('V1 - Encoding and Sanitization'!$F$2:$F$36,"Compliant",'V1 - Encoding and Sanitization'!$E$2:$E$36,2)</f>
        <v>5</v>
      </c>
      <c r="H6" s="5">
        <f t="shared" ref="H6:H22" si="1">IF(F6=0,"",G6/F6)</f>
        <v>0.26315789473684209</v>
      </c>
      <c r="I6" s="4">
        <v>3</v>
      </c>
      <c r="J6" s="4">
        <f>COUNTIFS('V1 - Encoding and Sanitization'!$F$2:$F$36,"Compliant",'V1 - Encoding and Sanitization'!$E$2:$E$36,3)</f>
        <v>1</v>
      </c>
      <c r="K6" s="5">
        <f t="shared" ref="K6:K13" si="2">IF(I6=0,"",J6/I6)</f>
        <v>0.33333333333333331</v>
      </c>
      <c r="L6" s="4">
        <f>COUNTIF('V1 - Encoding and Sanitization'!$F$2:$F$36,"Compliant")</f>
        <v>8</v>
      </c>
      <c r="M6" s="5">
        <f t="shared" ref="M6:M22" si="3">IF(B6=0,"",L6/B6)</f>
        <v>0.26666666666666666</v>
      </c>
    </row>
    <row r="7" spans="1:37" ht="18" customHeight="1" x14ac:dyDescent="0.3">
      <c r="A7" s="6" t="s">
        <v>15</v>
      </c>
      <c r="B7" s="7">
        <v>13</v>
      </c>
      <c r="C7" s="7">
        <v>4</v>
      </c>
      <c r="D7" s="7">
        <f>COUNTIFS('V2 - Validation and Business Lo'!$F$2:$F$18,"Compliant",'V2 - Validation and Business Lo'!$E$2:$E$18,1)</f>
        <v>1</v>
      </c>
      <c r="E7" s="8">
        <f t="shared" si="0"/>
        <v>0.25</v>
      </c>
      <c r="F7" s="7">
        <v>7</v>
      </c>
      <c r="G7" s="7">
        <f>COUNTIFS('V2 - Validation and Business Lo'!$F$2:$F$18,"Compliant",'V2 - Validation and Business Lo'!$E$2:$E$18,2)</f>
        <v>4</v>
      </c>
      <c r="H7" s="8">
        <f t="shared" si="1"/>
        <v>0.5714285714285714</v>
      </c>
      <c r="I7" s="7">
        <v>2</v>
      </c>
      <c r="J7" s="7">
        <f>COUNTIFS('V2 - Validation and Business Lo'!$F$2:$F$18,"Compliant",'V2 - Validation and Business Lo'!$E$2:$E$18,3)</f>
        <v>0</v>
      </c>
      <c r="K7" s="8">
        <f t="shared" si="2"/>
        <v>0</v>
      </c>
      <c r="L7" s="7">
        <f>COUNTIF('V2 - Validation and Business Lo'!$F$2:$F$18,"Compliant")</f>
        <v>5</v>
      </c>
      <c r="M7" s="8">
        <f t="shared" si="3"/>
        <v>0.38461538461538464</v>
      </c>
    </row>
    <row r="8" spans="1:37" ht="18" customHeight="1" x14ac:dyDescent="0.3">
      <c r="A8" s="3" t="s">
        <v>16</v>
      </c>
      <c r="B8" s="4">
        <v>31</v>
      </c>
      <c r="C8" s="4">
        <v>8</v>
      </c>
      <c r="D8" s="4">
        <f>COUNTIFS('V3 - Web Frontend Security'!$F$2:$F$39,"Compliant",'V3 - Web Frontend Security'!$E$2:$E$39,1)</f>
        <v>7</v>
      </c>
      <c r="E8" s="5">
        <f t="shared" si="0"/>
        <v>0.875</v>
      </c>
      <c r="F8" s="4">
        <v>11</v>
      </c>
      <c r="G8" s="4">
        <f>COUNTIFS('V3 - Web Frontend Security'!$F$2:$F$39,"Compliant",'V3 - Web Frontend Security'!$E$2:$E$39,2)</f>
        <v>4</v>
      </c>
      <c r="H8" s="5">
        <f t="shared" si="1"/>
        <v>0.36363636363636365</v>
      </c>
      <c r="I8" s="4">
        <v>12</v>
      </c>
      <c r="J8" s="4">
        <f>COUNTIFS('V3 - Web Frontend Security'!$F$2:$F$39,"Compliant",'V3 - Web Frontend Security'!$E$2:$E$39,3)</f>
        <v>4</v>
      </c>
      <c r="K8" s="5">
        <f t="shared" si="2"/>
        <v>0.33333333333333331</v>
      </c>
      <c r="L8" s="4">
        <f>COUNTIF('V3 - Web Frontend Security'!$F$2:$F$39,"Compliant")</f>
        <v>15</v>
      </c>
      <c r="M8" s="5">
        <f t="shared" si="3"/>
        <v>0.4838709677419355</v>
      </c>
    </row>
    <row r="9" spans="1:37"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3</v>
      </c>
      <c r="H9" s="8">
        <f t="shared" si="1"/>
        <v>0.375</v>
      </c>
      <c r="I9" s="7">
        <v>6</v>
      </c>
      <c r="J9" s="7">
        <f>COUNTIFS('V4 - API and Web Service'!$F$2:$F$21,"Compliant",'V4 - API and Web Service'!$E$2:$E$21,3)</f>
        <v>4</v>
      </c>
      <c r="K9" s="8">
        <f t="shared" si="2"/>
        <v>0.66666666666666663</v>
      </c>
      <c r="L9" s="7">
        <f>COUNTIF('V4 - API and Web Service'!$F$2:$F$21,"Compliant")</f>
        <v>8</v>
      </c>
      <c r="M9" s="8">
        <f t="shared" si="3"/>
        <v>0.5</v>
      </c>
      <c r="AK9" s="24"/>
    </row>
    <row r="10" spans="1:37" ht="18" customHeight="1" x14ac:dyDescent="0.3">
      <c r="A10" s="3" t="s">
        <v>18</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37" ht="18" customHeight="1" x14ac:dyDescent="0.3">
      <c r="A11" s="6" t="s">
        <v>19</v>
      </c>
      <c r="B11" s="7">
        <v>47</v>
      </c>
      <c r="C11" s="7">
        <v>13</v>
      </c>
      <c r="D11" s="7">
        <f>COUNTIFS('V6 - Authentication'!$F$2:$F$56,"Compliant",'V6 - Authentication'!$E$2:$E$56,1)</f>
        <v>2</v>
      </c>
      <c r="E11" s="8">
        <f t="shared" si="0"/>
        <v>0.15384615384615385</v>
      </c>
      <c r="F11" s="7">
        <v>22</v>
      </c>
      <c r="G11" s="7">
        <f>COUNTIFS('V6 - Authentication'!$F$2:$F$56,"Compliant",'V6 - Authentication'!$E$2:$E$56,2)</f>
        <v>1</v>
      </c>
      <c r="H11" s="8">
        <f t="shared" si="1"/>
        <v>4.5454545454545456E-2</v>
      </c>
      <c r="I11" s="7">
        <v>12</v>
      </c>
      <c r="J11" s="7">
        <f>COUNTIFS('V6 - Authentication'!$F$2:$F$56,"Compliant",'V6 - Authentication'!$E$2:$E$56,3)</f>
        <v>0</v>
      </c>
      <c r="K11" s="8">
        <f t="shared" si="2"/>
        <v>0</v>
      </c>
      <c r="L11" s="7">
        <f>COUNTIF('V6 - Authentication'!$F$2:$F$56,"Compliant")</f>
        <v>3</v>
      </c>
      <c r="M11" s="8">
        <f t="shared" si="3"/>
        <v>6.3829787234042548E-2</v>
      </c>
    </row>
    <row r="12" spans="1:37" ht="18" customHeight="1" x14ac:dyDescent="0.3">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1</v>
      </c>
      <c r="H12" s="5">
        <f t="shared" si="1"/>
        <v>8.3333333333333329E-2</v>
      </c>
      <c r="I12" s="4">
        <v>1</v>
      </c>
      <c r="J12" s="4">
        <f>COUNTIFS('V7 - Session Management'!$F$2:$F$26,"Compliant",'V7 - Session Management'!$E$2:$E$26,3)</f>
        <v>0</v>
      </c>
      <c r="K12" s="5">
        <f t="shared" si="2"/>
        <v>0</v>
      </c>
      <c r="L12" s="4">
        <f>COUNTIF('V7 - Session Management'!$F$2:$F$26,"Compliant")</f>
        <v>5</v>
      </c>
      <c r="M12" s="5">
        <f t="shared" si="3"/>
        <v>0.26315789473684209</v>
      </c>
    </row>
    <row r="13" spans="1:37" ht="18" customHeight="1" x14ac:dyDescent="0.3">
      <c r="A13" s="6" t="s">
        <v>21</v>
      </c>
      <c r="B13" s="7">
        <v>13</v>
      </c>
      <c r="C13" s="7">
        <v>4</v>
      </c>
      <c r="D13" s="7">
        <f>COUNTIFS('V8 - Authorization'!$F$2:$F$18,"Compliant",'V8 - Authorization'!$E$2:$E$18,1)</f>
        <v>2</v>
      </c>
      <c r="E13" s="8">
        <f t="shared" si="0"/>
        <v>0.5</v>
      </c>
      <c r="F13" s="7">
        <v>3</v>
      </c>
      <c r="G13" s="7">
        <f>COUNTIFS('V8 - Authorization'!$F$2:$F$18,"Compliant",'V8 - Authorization'!$E$2:$E$18,2)</f>
        <v>0</v>
      </c>
      <c r="H13" s="8">
        <f t="shared" si="1"/>
        <v>0</v>
      </c>
      <c r="I13" s="7">
        <v>6</v>
      </c>
      <c r="J13" s="7">
        <f>COUNTIFS('V8 - Authorization'!$F$2:$F$18,"Compliant",'V8 - Authorization'!$E$2:$E$18,3)</f>
        <v>1</v>
      </c>
      <c r="K13" s="8">
        <f t="shared" si="2"/>
        <v>0.16666666666666666</v>
      </c>
      <c r="L13" s="7">
        <f>COUNTIF('V8 - Authorization'!$F$2:$F$18,"Compliant")</f>
        <v>3</v>
      </c>
      <c r="M13" s="8">
        <f t="shared" si="3"/>
        <v>0.23076923076923078</v>
      </c>
    </row>
    <row r="14" spans="1:37" ht="18" customHeight="1" x14ac:dyDescent="0.3">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2</v>
      </c>
      <c r="H14" s="5">
        <f t="shared" si="1"/>
        <v>0.66666666666666663</v>
      </c>
      <c r="I14" s="4">
        <v>0</v>
      </c>
      <c r="J14" s="4" t="s">
        <v>23</v>
      </c>
      <c r="K14" s="4" t="s">
        <v>23</v>
      </c>
      <c r="L14" s="4">
        <f>COUNTIF('V9 - Self-contained Tokens'!$F$2:$F$10,"Compliant")</f>
        <v>6</v>
      </c>
      <c r="M14" s="5">
        <f t="shared" si="3"/>
        <v>0.8571428571428571</v>
      </c>
    </row>
    <row r="15" spans="1:37" ht="18" customHeight="1" x14ac:dyDescent="0.3">
      <c r="A15" s="6" t="s">
        <v>24</v>
      </c>
      <c r="B15" s="7">
        <v>36</v>
      </c>
      <c r="C15" s="7">
        <v>5</v>
      </c>
      <c r="D15" s="7">
        <f>COUNTIFS('V10 - OAuth and OIDC'!$F$2:$F$44,"Compliant",'V10 - OAuth and OIDC'!$E$2:$E$44,1)</f>
        <v>1</v>
      </c>
      <c r="E15" s="8">
        <f t="shared" si="0"/>
        <v>0.2</v>
      </c>
      <c r="F15" s="7">
        <v>24</v>
      </c>
      <c r="G15" s="7">
        <f>COUNTIFS('V10 - OAuth and OIDC'!$F$2:$F$44,"Compliant",'V10 - OAuth and OIDC'!$E$2:$E$44,2)</f>
        <v>6</v>
      </c>
      <c r="H15" s="8">
        <f t="shared" si="1"/>
        <v>0.25</v>
      </c>
      <c r="I15" s="7">
        <v>7</v>
      </c>
      <c r="J15" s="7">
        <f>COUNTIFS('V10 - OAuth and OIDC'!$F$2:$F$44,"Compliant",'V10 - OAuth and OIDC'!$E$2:$E$44,3)</f>
        <v>1</v>
      </c>
      <c r="K15" s="8">
        <f t="shared" ref="K15:K22" si="4">IF(I15=0,"",J15/I15)</f>
        <v>0.14285714285714285</v>
      </c>
      <c r="L15" s="7">
        <f>COUNTIF('V10 - OAuth and OIDC'!$F$2:$F$44,"Compliant")</f>
        <v>8</v>
      </c>
      <c r="M15" s="8">
        <f t="shared" si="3"/>
        <v>0.22222222222222221</v>
      </c>
    </row>
    <row r="16" spans="1:37" ht="18" customHeight="1" x14ac:dyDescent="0.3">
      <c r="A16" s="3" t="s">
        <v>25</v>
      </c>
      <c r="B16" s="4">
        <v>24</v>
      </c>
      <c r="C16" s="4">
        <v>3</v>
      </c>
      <c r="D16" s="4">
        <f>COUNTIFS('V11 - Cryptography'!$F$2:$F$32,"Compliant",'V11 - Cryptography'!$E$2:$E$32,1)</f>
        <v>3</v>
      </c>
      <c r="E16" s="5">
        <f t="shared" si="0"/>
        <v>1</v>
      </c>
      <c r="F16" s="4">
        <v>11</v>
      </c>
      <c r="G16" s="4">
        <f>COUNTIFS('V11 - Cryptography'!$F$2:$F$32,"Compliant",'V11 - Cryptography'!$E$2:$E$32,2)</f>
        <v>6</v>
      </c>
      <c r="H16" s="5">
        <f t="shared" si="1"/>
        <v>0.54545454545454541</v>
      </c>
      <c r="I16" s="4">
        <v>10</v>
      </c>
      <c r="J16" s="4">
        <f>COUNTIFS('V11 - Cryptography'!$F$2:$F$32,"Compliant",'V11 - Cryptography'!$E$2:$E$32,3)</f>
        <v>4</v>
      </c>
      <c r="K16" s="5">
        <f t="shared" si="4"/>
        <v>0.4</v>
      </c>
      <c r="L16" s="4">
        <f>COUNTIF('V11 - Cryptography'!$F$2:$F$32,"Compliant")</f>
        <v>13</v>
      </c>
      <c r="M16" s="5">
        <f t="shared" si="3"/>
        <v>0.54166666666666663</v>
      </c>
    </row>
    <row r="17" spans="1:13" ht="18" customHeight="1" x14ac:dyDescent="0.3">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3">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x14ac:dyDescent="0.3">
      <c r="A19" s="6" t="s">
        <v>28</v>
      </c>
      <c r="B19" s="7">
        <v>13</v>
      </c>
      <c r="C19" s="7">
        <v>2</v>
      </c>
      <c r="D19" s="7">
        <f>COUNTIFS('V14 - Data Protection'!$F$2:$F$17,"Compliant",'V14 - Data Protection'!$E$2:$E$17,1)</f>
        <v>1</v>
      </c>
      <c r="E19" s="8">
        <f t="shared" si="0"/>
        <v>0.5</v>
      </c>
      <c r="F19" s="7">
        <v>7</v>
      </c>
      <c r="G19" s="7">
        <f>COUNTIFS('V14 - Data Protection'!$F$2:$F$17,"Compliant",'V14 - Data Protection'!$E$2:$E$17,2)</f>
        <v>2</v>
      </c>
      <c r="H19" s="8">
        <f t="shared" si="1"/>
        <v>0.2857142857142857</v>
      </c>
      <c r="I19" s="7">
        <v>4</v>
      </c>
      <c r="J19" s="7">
        <f>COUNTIFS('V14 - Data Protection'!$F$2:$F$17,"Compliant",'V14 - Data Protection'!$E$2:$E$17,3)</f>
        <v>1</v>
      </c>
      <c r="K19" s="8">
        <f t="shared" si="4"/>
        <v>0.25</v>
      </c>
      <c r="L19" s="7">
        <f>COUNTIF('V14 - Data Protection'!$F$2:$F$17,"Compliant")</f>
        <v>4</v>
      </c>
      <c r="M19" s="8">
        <f t="shared" si="3"/>
        <v>0.30769230769230771</v>
      </c>
    </row>
    <row r="20" spans="1:13" ht="18" customHeight="1" x14ac:dyDescent="0.3">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3">
      <c r="A21" s="6" t="s">
        <v>30</v>
      </c>
      <c r="B21" s="7">
        <v>17</v>
      </c>
      <c r="C21" s="7">
        <v>0</v>
      </c>
      <c r="D21" s="7" t="s">
        <v>23</v>
      </c>
      <c r="E21" s="7" t="s">
        <v>23</v>
      </c>
      <c r="F21" s="7">
        <v>16</v>
      </c>
      <c r="G21" s="7">
        <f>COUNTIFS('V16 - Security Logging and Erro'!$F$2:$F$23,"Compliant",'V16 - Security Logging and Erro'!$E$2:$E$23,2)</f>
        <v>6</v>
      </c>
      <c r="H21" s="8">
        <f t="shared" si="1"/>
        <v>0.375</v>
      </c>
      <c r="I21" s="7">
        <v>1</v>
      </c>
      <c r="J21" s="7">
        <f>COUNTIFS('V16 - Security Logging and Erro'!$F$2:$F$23,"Compliant",'V16 - Security Logging and Erro'!$E$2:$E$23,3)</f>
        <v>0</v>
      </c>
      <c r="K21" s="8">
        <f t="shared" si="4"/>
        <v>0</v>
      </c>
      <c r="L21" s="7">
        <f>COUNTIF('V16 - Security Logging and Erro'!$F$2:$F$23,"Compliant")</f>
        <v>6</v>
      </c>
      <c r="M21" s="8">
        <f t="shared" si="3"/>
        <v>0.35294117647058826</v>
      </c>
    </row>
    <row r="22" spans="1:13" ht="18" customHeight="1" x14ac:dyDescent="0.3">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05" customHeight="1" x14ac:dyDescent="0.3">
      <c r="A23" s="9" t="s">
        <v>32</v>
      </c>
      <c r="B23" s="10">
        <f>SUM(B6:B22)</f>
        <v>345</v>
      </c>
      <c r="C23" s="10">
        <f>SUM(C6:C22)</f>
        <v>70</v>
      </c>
      <c r="D23" s="10">
        <f>SUM(D6:D22)</f>
        <v>28</v>
      </c>
      <c r="E23" s="11">
        <f>IFERROR(AVERAGE(E6:E22),"")</f>
        <v>0.39303418803418805</v>
      </c>
      <c r="F23" s="10">
        <f>SUM(F6:F22)</f>
        <v>183</v>
      </c>
      <c r="G23" s="10">
        <f>SUM(G6:G22)</f>
        <v>40</v>
      </c>
      <c r="H23" s="11">
        <f>IFERROR(AVERAGE(H6:H22),"")</f>
        <v>0.22499095331912666</v>
      </c>
      <c r="I23" s="10">
        <f>SUM(I6:I22)</f>
        <v>92</v>
      </c>
      <c r="J23" s="10">
        <f>SUM(J6:J22)</f>
        <v>16</v>
      </c>
      <c r="K23" s="11">
        <f>IFERROR(AVERAGE(K6:K22),"")</f>
        <v>0.14330357142857142</v>
      </c>
      <c r="L23" s="10">
        <f>SUM(L6:L22)</f>
        <v>84</v>
      </c>
      <c r="M23" s="11">
        <f>IFERROR(AVERAGE(M6:M22),"")</f>
        <v>0.26321030364463199</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 activePane="bottomLeft" state="frozen"/>
      <selection pane="bottomLeft" activeCell="J8" sqref="J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41</v>
      </c>
      <c r="B2" s="13" t="s">
        <v>42</v>
      </c>
      <c r="C2" s="13"/>
      <c r="D2" s="13"/>
      <c r="E2" s="13"/>
      <c r="F2" s="13"/>
      <c r="G2" s="13"/>
      <c r="H2" s="13"/>
    </row>
    <row r="3" spans="1:8" ht="30" customHeight="1" x14ac:dyDescent="0.3">
      <c r="A3" s="14" t="s">
        <v>41</v>
      </c>
      <c r="B3" s="14" t="s">
        <v>42</v>
      </c>
      <c r="C3" s="15" t="s">
        <v>43</v>
      </c>
      <c r="D3" s="16" t="s">
        <v>44</v>
      </c>
      <c r="E3" s="17">
        <v>2</v>
      </c>
      <c r="F3" s="18" t="s">
        <v>45</v>
      </c>
      <c r="G3" s="16" t="s">
        <v>46</v>
      </c>
      <c r="H3" s="16" t="s">
        <v>47</v>
      </c>
    </row>
    <row r="4" spans="1:8" ht="30" customHeight="1" x14ac:dyDescent="0.3">
      <c r="A4" s="19" t="s">
        <v>41</v>
      </c>
      <c r="B4" s="19" t="s">
        <v>42</v>
      </c>
      <c r="C4" s="20" t="s">
        <v>48</v>
      </c>
      <c r="D4" s="21" t="s">
        <v>49</v>
      </c>
      <c r="E4" s="17">
        <v>2</v>
      </c>
      <c r="F4" s="18" t="s">
        <v>45</v>
      </c>
      <c r="G4" s="21" t="s">
        <v>50</v>
      </c>
      <c r="H4" s="21" t="s">
        <v>51</v>
      </c>
    </row>
    <row r="5" spans="1:8" ht="18" customHeight="1" x14ac:dyDescent="0.3">
      <c r="A5" s="13" t="s">
        <v>52</v>
      </c>
      <c r="B5" s="13" t="s">
        <v>53</v>
      </c>
      <c r="C5" s="13"/>
      <c r="D5" s="13"/>
      <c r="E5" s="13"/>
      <c r="F5" s="13"/>
      <c r="G5" s="13"/>
      <c r="H5" s="13"/>
    </row>
    <row r="6" spans="1:8" ht="30" customHeight="1" x14ac:dyDescent="0.3">
      <c r="A6" s="14" t="s">
        <v>52</v>
      </c>
      <c r="B6" s="14" t="s">
        <v>53</v>
      </c>
      <c r="C6" s="15" t="s">
        <v>54</v>
      </c>
      <c r="D6" s="16" t="s">
        <v>55</v>
      </c>
      <c r="E6" s="22">
        <v>1</v>
      </c>
      <c r="F6" s="18" t="s">
        <v>23</v>
      </c>
      <c r="G6" s="16" t="s">
        <v>56</v>
      </c>
      <c r="H6" s="16" t="s">
        <v>23</v>
      </c>
    </row>
    <row r="7" spans="1:8" ht="30" customHeight="1" x14ac:dyDescent="0.3">
      <c r="A7" s="19" t="s">
        <v>52</v>
      </c>
      <c r="B7" s="19" t="s">
        <v>53</v>
      </c>
      <c r="C7" s="20" t="s">
        <v>57</v>
      </c>
      <c r="D7" s="21" t="s">
        <v>58</v>
      </c>
      <c r="E7" s="22">
        <v>1</v>
      </c>
      <c r="F7" s="18" t="s">
        <v>45</v>
      </c>
      <c r="G7" s="21" t="s">
        <v>59</v>
      </c>
      <c r="H7" s="21" t="s">
        <v>60</v>
      </c>
    </row>
    <row r="8" spans="1:8" ht="30" customHeight="1" x14ac:dyDescent="0.3">
      <c r="A8" s="14" t="s">
        <v>52</v>
      </c>
      <c r="B8" s="14" t="s">
        <v>53</v>
      </c>
      <c r="C8" s="15" t="s">
        <v>61</v>
      </c>
      <c r="D8" s="16" t="s">
        <v>62</v>
      </c>
      <c r="E8" s="22">
        <v>1</v>
      </c>
      <c r="F8" s="18" t="s">
        <v>23</v>
      </c>
      <c r="G8" s="16" t="s">
        <v>63</v>
      </c>
      <c r="H8" s="16" t="s">
        <v>23</v>
      </c>
    </row>
    <row r="9" spans="1:8" ht="30" customHeight="1" x14ac:dyDescent="0.3">
      <c r="A9" s="19" t="s">
        <v>52</v>
      </c>
      <c r="B9" s="19" t="s">
        <v>53</v>
      </c>
      <c r="C9" s="20" t="s">
        <v>64</v>
      </c>
      <c r="D9" s="21" t="s">
        <v>65</v>
      </c>
      <c r="E9" s="22">
        <v>1</v>
      </c>
      <c r="F9" s="18" t="s">
        <v>66</v>
      </c>
      <c r="G9" s="21" t="s">
        <v>67</v>
      </c>
      <c r="H9" s="21" t="s">
        <v>68</v>
      </c>
    </row>
    <row r="10" spans="1:8" ht="30" customHeight="1" x14ac:dyDescent="0.3">
      <c r="A10" s="14" t="s">
        <v>52</v>
      </c>
      <c r="B10" s="14" t="s">
        <v>53</v>
      </c>
      <c r="C10" s="15" t="s">
        <v>69</v>
      </c>
      <c r="D10" s="16" t="s">
        <v>70</v>
      </c>
      <c r="E10" s="22">
        <v>1</v>
      </c>
      <c r="F10" s="18" t="s">
        <v>45</v>
      </c>
      <c r="G10" s="16" t="s">
        <v>71</v>
      </c>
      <c r="H10" s="16" t="s">
        <v>68</v>
      </c>
    </row>
    <row r="11" spans="1:8" ht="30" customHeight="1" x14ac:dyDescent="0.3">
      <c r="A11" s="19" t="s">
        <v>52</v>
      </c>
      <c r="B11" s="19" t="s">
        <v>53</v>
      </c>
      <c r="C11" s="20" t="s">
        <v>72</v>
      </c>
      <c r="D11" s="21" t="s">
        <v>73</v>
      </c>
      <c r="E11" s="17">
        <v>2</v>
      </c>
      <c r="F11" s="18" t="s">
        <v>23</v>
      </c>
      <c r="G11" s="21" t="s">
        <v>74</v>
      </c>
      <c r="H11" s="21" t="s">
        <v>23</v>
      </c>
    </row>
    <row r="12" spans="1:8" ht="30" customHeight="1" x14ac:dyDescent="0.3">
      <c r="A12" s="14" t="s">
        <v>52</v>
      </c>
      <c r="B12" s="14" t="s">
        <v>53</v>
      </c>
      <c r="C12" s="15" t="s">
        <v>75</v>
      </c>
      <c r="D12" s="16" t="s">
        <v>76</v>
      </c>
      <c r="E12" s="17">
        <v>2</v>
      </c>
      <c r="F12" s="18" t="s">
        <v>23</v>
      </c>
      <c r="G12" s="16" t="s">
        <v>77</v>
      </c>
      <c r="H12" s="16" t="s">
        <v>23</v>
      </c>
    </row>
    <row r="13" spans="1:8" ht="30" customHeight="1" x14ac:dyDescent="0.3">
      <c r="A13" s="19" t="s">
        <v>52</v>
      </c>
      <c r="B13" s="19" t="s">
        <v>53</v>
      </c>
      <c r="C13" s="20" t="s">
        <v>78</v>
      </c>
      <c r="D13" s="21" t="s">
        <v>79</v>
      </c>
      <c r="E13" s="17">
        <v>2</v>
      </c>
      <c r="F13" s="18" t="s">
        <v>23</v>
      </c>
      <c r="G13" s="21" t="s">
        <v>80</v>
      </c>
      <c r="H13" s="21" t="s">
        <v>23</v>
      </c>
    </row>
    <row r="14" spans="1:8" ht="30" customHeight="1" x14ac:dyDescent="0.3">
      <c r="A14" s="14" t="s">
        <v>52</v>
      </c>
      <c r="B14" s="14" t="s">
        <v>53</v>
      </c>
      <c r="C14" s="15" t="s">
        <v>81</v>
      </c>
      <c r="D14" s="16" t="s">
        <v>82</v>
      </c>
      <c r="E14" s="17">
        <v>2</v>
      </c>
      <c r="F14" s="18" t="s">
        <v>45</v>
      </c>
      <c r="G14" s="16" t="s">
        <v>83</v>
      </c>
      <c r="H14" s="16" t="s">
        <v>60</v>
      </c>
    </row>
    <row r="15" spans="1:8" ht="30" customHeight="1" x14ac:dyDescent="0.3">
      <c r="A15" s="19" t="s">
        <v>52</v>
      </c>
      <c r="B15" s="19" t="s">
        <v>53</v>
      </c>
      <c r="C15" s="20" t="s">
        <v>84</v>
      </c>
      <c r="D15" s="21" t="s">
        <v>85</v>
      </c>
      <c r="E15" s="23">
        <v>3</v>
      </c>
      <c r="F15" s="18" t="s">
        <v>23</v>
      </c>
      <c r="G15" s="21" t="s">
        <v>86</v>
      </c>
      <c r="H15" s="21" t="s">
        <v>23</v>
      </c>
    </row>
    <row r="16" spans="1:8" ht="18" customHeight="1" x14ac:dyDescent="0.3">
      <c r="A16" s="13" t="s">
        <v>87</v>
      </c>
      <c r="B16" s="13" t="s">
        <v>88</v>
      </c>
      <c r="C16" s="13"/>
      <c r="D16" s="13"/>
      <c r="E16" s="13"/>
      <c r="F16" s="13"/>
      <c r="G16" s="13"/>
      <c r="H16" s="13"/>
    </row>
    <row r="17" spans="1:8" ht="30" customHeight="1" x14ac:dyDescent="0.3">
      <c r="A17" s="14" t="s">
        <v>87</v>
      </c>
      <c r="B17" s="14" t="s">
        <v>88</v>
      </c>
      <c r="C17" s="15" t="s">
        <v>89</v>
      </c>
      <c r="D17" s="16" t="s">
        <v>90</v>
      </c>
      <c r="E17" s="22">
        <v>1</v>
      </c>
      <c r="F17" s="18" t="s">
        <v>23</v>
      </c>
      <c r="G17" s="16" t="s">
        <v>91</v>
      </c>
      <c r="H17" s="16" t="s">
        <v>23</v>
      </c>
    </row>
    <row r="18" spans="1:8" ht="30" customHeight="1" x14ac:dyDescent="0.3">
      <c r="A18" s="19" t="s">
        <v>87</v>
      </c>
      <c r="B18" s="19" t="s">
        <v>88</v>
      </c>
      <c r="C18" s="20" t="s">
        <v>92</v>
      </c>
      <c r="D18" s="21" t="s">
        <v>93</v>
      </c>
      <c r="E18" s="22">
        <v>1</v>
      </c>
      <c r="F18" s="18" t="s">
        <v>66</v>
      </c>
      <c r="G18" s="21" t="s">
        <v>94</v>
      </c>
      <c r="H18" s="21" t="s">
        <v>23</v>
      </c>
    </row>
    <row r="19" spans="1:8" ht="30" customHeight="1" x14ac:dyDescent="0.3">
      <c r="A19" s="14" t="s">
        <v>87</v>
      </c>
      <c r="B19" s="14" t="s">
        <v>88</v>
      </c>
      <c r="C19" s="15" t="s">
        <v>95</v>
      </c>
      <c r="D19" s="16" t="s">
        <v>96</v>
      </c>
      <c r="E19" s="17">
        <v>2</v>
      </c>
      <c r="F19" s="18" t="s">
        <v>45</v>
      </c>
      <c r="G19" s="16" t="s">
        <v>97</v>
      </c>
      <c r="H19" s="16" t="s">
        <v>98</v>
      </c>
    </row>
    <row r="20" spans="1:8" ht="30" customHeight="1" x14ac:dyDescent="0.3">
      <c r="A20" s="19" t="s">
        <v>87</v>
      </c>
      <c r="B20" s="19" t="s">
        <v>88</v>
      </c>
      <c r="C20" s="20" t="s">
        <v>99</v>
      </c>
      <c r="D20" s="21" t="s">
        <v>100</v>
      </c>
      <c r="E20" s="17">
        <v>2</v>
      </c>
      <c r="F20" s="18" t="s">
        <v>23</v>
      </c>
      <c r="G20" s="21" t="s">
        <v>101</v>
      </c>
      <c r="H20" s="21" t="s">
        <v>23</v>
      </c>
    </row>
    <row r="21" spans="1:8" ht="30" customHeight="1" x14ac:dyDescent="0.3">
      <c r="A21" s="14" t="s">
        <v>87</v>
      </c>
      <c r="B21" s="14" t="s">
        <v>88</v>
      </c>
      <c r="C21" s="15" t="s">
        <v>102</v>
      </c>
      <c r="D21" s="16" t="s">
        <v>103</v>
      </c>
      <c r="E21" s="17">
        <v>2</v>
      </c>
      <c r="F21" s="18" t="s">
        <v>23</v>
      </c>
      <c r="G21" s="16" t="s">
        <v>104</v>
      </c>
      <c r="H21" s="16" t="s">
        <v>23</v>
      </c>
    </row>
    <row r="22" spans="1:8" ht="30" customHeight="1" x14ac:dyDescent="0.3">
      <c r="A22" s="19" t="s">
        <v>87</v>
      </c>
      <c r="B22" s="19" t="s">
        <v>88</v>
      </c>
      <c r="C22" s="20" t="s">
        <v>105</v>
      </c>
      <c r="D22" s="21" t="s">
        <v>106</v>
      </c>
      <c r="E22" s="17">
        <v>2</v>
      </c>
      <c r="F22" s="18" t="s">
        <v>45</v>
      </c>
      <c r="G22" s="21" t="s">
        <v>107</v>
      </c>
      <c r="H22" s="21" t="s">
        <v>60</v>
      </c>
    </row>
    <row r="23" spans="1:8" ht="30" customHeight="1" x14ac:dyDescent="0.3">
      <c r="A23" s="14" t="s">
        <v>87</v>
      </c>
      <c r="B23" s="14" t="s">
        <v>88</v>
      </c>
      <c r="C23" s="15" t="s">
        <v>108</v>
      </c>
      <c r="D23" s="16" t="s">
        <v>109</v>
      </c>
      <c r="E23" s="17">
        <v>2</v>
      </c>
      <c r="F23" s="18" t="s">
        <v>66</v>
      </c>
      <c r="G23" s="16" t="s">
        <v>110</v>
      </c>
      <c r="H23" s="16" t="s">
        <v>23</v>
      </c>
    </row>
    <row r="24" spans="1:8" ht="30" customHeight="1" x14ac:dyDescent="0.3">
      <c r="A24" s="19" t="s">
        <v>87</v>
      </c>
      <c r="B24" s="19" t="s">
        <v>88</v>
      </c>
      <c r="C24" s="20" t="s">
        <v>111</v>
      </c>
      <c r="D24" s="21" t="s">
        <v>112</v>
      </c>
      <c r="E24" s="17">
        <v>2</v>
      </c>
      <c r="F24" s="18" t="s">
        <v>23</v>
      </c>
      <c r="G24" s="21" t="s">
        <v>113</v>
      </c>
      <c r="H24" s="21" t="s">
        <v>23</v>
      </c>
    </row>
    <row r="25" spans="1:8" ht="30" customHeight="1" x14ac:dyDescent="0.3">
      <c r="A25" s="14" t="s">
        <v>87</v>
      </c>
      <c r="B25" s="14" t="s">
        <v>88</v>
      </c>
      <c r="C25" s="15" t="s">
        <v>114</v>
      </c>
      <c r="D25" s="16" t="s">
        <v>115</v>
      </c>
      <c r="E25" s="17">
        <v>2</v>
      </c>
      <c r="F25" s="18" t="s">
        <v>23</v>
      </c>
      <c r="G25" s="16" t="s">
        <v>116</v>
      </c>
      <c r="H25" s="16" t="s">
        <v>23</v>
      </c>
    </row>
    <row r="26" spans="1:8" ht="30" customHeight="1" x14ac:dyDescent="0.3">
      <c r="A26" s="19" t="s">
        <v>87</v>
      </c>
      <c r="B26" s="19" t="s">
        <v>88</v>
      </c>
      <c r="C26" s="20" t="s">
        <v>117</v>
      </c>
      <c r="D26" s="21" t="s">
        <v>118</v>
      </c>
      <c r="E26" s="17">
        <v>2</v>
      </c>
      <c r="F26" s="18" t="s">
        <v>66</v>
      </c>
      <c r="G26" s="21" t="s">
        <v>119</v>
      </c>
      <c r="H26" s="21" t="s">
        <v>23</v>
      </c>
    </row>
    <row r="27" spans="1:8" ht="30" customHeight="1" x14ac:dyDescent="0.3">
      <c r="A27" s="14" t="s">
        <v>87</v>
      </c>
      <c r="B27" s="14" t="s">
        <v>88</v>
      </c>
      <c r="C27" s="15" t="s">
        <v>120</v>
      </c>
      <c r="D27" s="16" t="s">
        <v>121</v>
      </c>
      <c r="E27" s="17">
        <v>2</v>
      </c>
      <c r="F27" s="18" t="s">
        <v>23</v>
      </c>
      <c r="G27" s="16" t="s">
        <v>122</v>
      </c>
      <c r="H27" s="16" t="s">
        <v>23</v>
      </c>
    </row>
    <row r="28" spans="1:8" ht="30" customHeight="1" x14ac:dyDescent="0.3">
      <c r="A28" s="19" t="s">
        <v>87</v>
      </c>
      <c r="B28" s="19" t="s">
        <v>88</v>
      </c>
      <c r="C28" s="20" t="s">
        <v>123</v>
      </c>
      <c r="D28" s="21" t="s">
        <v>124</v>
      </c>
      <c r="E28" s="23">
        <v>3</v>
      </c>
      <c r="F28" s="18" t="s">
        <v>45</v>
      </c>
      <c r="G28" s="21" t="s">
        <v>125</v>
      </c>
      <c r="H28" s="21" t="s">
        <v>60</v>
      </c>
    </row>
    <row r="29" spans="1:8" ht="18" customHeight="1" x14ac:dyDescent="0.3">
      <c r="A29" s="13" t="s">
        <v>126</v>
      </c>
      <c r="B29" s="13" t="s">
        <v>127</v>
      </c>
      <c r="C29" s="13"/>
      <c r="D29" s="13"/>
      <c r="E29" s="13"/>
      <c r="F29" s="13"/>
      <c r="G29" s="13"/>
      <c r="H29" s="13"/>
    </row>
    <row r="30" spans="1:8" ht="30" customHeight="1" x14ac:dyDescent="0.3">
      <c r="A30" s="14" t="s">
        <v>126</v>
      </c>
      <c r="B30" s="14" t="s">
        <v>127</v>
      </c>
      <c r="C30" s="15" t="s">
        <v>128</v>
      </c>
      <c r="D30" s="16" t="s">
        <v>129</v>
      </c>
      <c r="E30" s="17">
        <v>2</v>
      </c>
      <c r="F30" s="18" t="s">
        <v>66</v>
      </c>
      <c r="G30" s="16" t="s">
        <v>130</v>
      </c>
      <c r="H30" s="16" t="s">
        <v>23</v>
      </c>
    </row>
    <row r="31" spans="1:8" ht="30" customHeight="1" x14ac:dyDescent="0.3">
      <c r="A31" s="19" t="s">
        <v>126</v>
      </c>
      <c r="B31" s="19" t="s">
        <v>127</v>
      </c>
      <c r="C31" s="20" t="s">
        <v>131</v>
      </c>
      <c r="D31" s="21" t="s">
        <v>132</v>
      </c>
      <c r="E31" s="17">
        <v>2</v>
      </c>
      <c r="F31" s="18" t="s">
        <v>66</v>
      </c>
      <c r="G31" s="21" t="s">
        <v>133</v>
      </c>
      <c r="H31" s="21" t="s">
        <v>134</v>
      </c>
    </row>
    <row r="32" spans="1:8" ht="30" customHeight="1" x14ac:dyDescent="0.3">
      <c r="A32" s="14" t="s">
        <v>126</v>
      </c>
      <c r="B32" s="14" t="s">
        <v>127</v>
      </c>
      <c r="C32" s="15" t="s">
        <v>135</v>
      </c>
      <c r="D32" s="16" t="s">
        <v>136</v>
      </c>
      <c r="E32" s="17">
        <v>2</v>
      </c>
      <c r="F32" s="18" t="s">
        <v>66</v>
      </c>
      <c r="G32" s="16" t="s">
        <v>137</v>
      </c>
      <c r="H32" s="16" t="s">
        <v>23</v>
      </c>
    </row>
    <row r="33" spans="1:8" ht="18" customHeight="1" x14ac:dyDescent="0.3">
      <c r="A33" s="13" t="s">
        <v>138</v>
      </c>
      <c r="B33" s="13" t="s">
        <v>139</v>
      </c>
      <c r="C33" s="13"/>
      <c r="D33" s="13"/>
      <c r="E33" s="13"/>
      <c r="F33" s="13"/>
      <c r="G33" s="13"/>
      <c r="H33" s="13"/>
    </row>
    <row r="34" spans="1:8" ht="30" customHeight="1" x14ac:dyDescent="0.3">
      <c r="A34" s="14" t="s">
        <v>138</v>
      </c>
      <c r="B34" s="14" t="s">
        <v>139</v>
      </c>
      <c r="C34" s="15" t="s">
        <v>140</v>
      </c>
      <c r="D34" s="16" t="s">
        <v>141</v>
      </c>
      <c r="E34" s="22">
        <v>1</v>
      </c>
      <c r="F34" s="18" t="s">
        <v>23</v>
      </c>
      <c r="G34" s="16" t="s">
        <v>142</v>
      </c>
      <c r="H34" s="16" t="s">
        <v>23</v>
      </c>
    </row>
    <row r="35" spans="1:8" ht="30" customHeight="1" x14ac:dyDescent="0.3">
      <c r="A35" s="19" t="s">
        <v>138</v>
      </c>
      <c r="B35" s="19" t="s">
        <v>139</v>
      </c>
      <c r="C35" s="20" t="s">
        <v>143</v>
      </c>
      <c r="D35" s="21" t="s">
        <v>144</v>
      </c>
      <c r="E35" s="17">
        <v>2</v>
      </c>
      <c r="F35" s="18" t="s">
        <v>45</v>
      </c>
      <c r="G35" s="21" t="s">
        <v>145</v>
      </c>
      <c r="H35" s="21" t="s">
        <v>146</v>
      </c>
    </row>
    <row r="36" spans="1:8" ht="30" customHeight="1" x14ac:dyDescent="0.3">
      <c r="A36" s="14" t="s">
        <v>138</v>
      </c>
      <c r="B36" s="14" t="s">
        <v>139</v>
      </c>
      <c r="C36" s="15" t="s">
        <v>147</v>
      </c>
      <c r="D36" s="16" t="s">
        <v>148</v>
      </c>
      <c r="E36" s="23">
        <v>3</v>
      </c>
      <c r="F36" s="18" t="s">
        <v>66</v>
      </c>
      <c r="G36" s="16" t="s">
        <v>149</v>
      </c>
      <c r="H36" s="16" t="s">
        <v>23</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3" sqref="F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150</v>
      </c>
      <c r="B2" s="13" t="s">
        <v>151</v>
      </c>
      <c r="C2" s="13"/>
      <c r="D2" s="13"/>
      <c r="E2" s="13"/>
      <c r="F2" s="13"/>
      <c r="G2" s="13"/>
      <c r="H2" s="13"/>
    </row>
    <row r="3" spans="1:8" ht="30" customHeight="1" x14ac:dyDescent="0.3">
      <c r="A3" s="14" t="s">
        <v>150</v>
      </c>
      <c r="B3" s="14" t="s">
        <v>151</v>
      </c>
      <c r="C3" s="15" t="s">
        <v>152</v>
      </c>
      <c r="D3" s="16" t="s">
        <v>153</v>
      </c>
      <c r="E3" s="22">
        <v>1</v>
      </c>
      <c r="F3" s="18" t="s">
        <v>66</v>
      </c>
      <c r="G3" s="16" t="s">
        <v>154</v>
      </c>
      <c r="H3" s="16" t="s">
        <v>155</v>
      </c>
    </row>
    <row r="4" spans="1:8" ht="30" customHeight="1" x14ac:dyDescent="0.3">
      <c r="A4" s="19" t="s">
        <v>150</v>
      </c>
      <c r="B4" s="19" t="s">
        <v>151</v>
      </c>
      <c r="C4" s="20" t="s">
        <v>156</v>
      </c>
      <c r="D4" s="21" t="s">
        <v>157</v>
      </c>
      <c r="E4" s="17">
        <v>2</v>
      </c>
      <c r="F4" s="18" t="s">
        <v>45</v>
      </c>
      <c r="G4" s="21" t="s">
        <v>158</v>
      </c>
      <c r="H4" s="21" t="s">
        <v>159</v>
      </c>
    </row>
    <row r="5" spans="1:8" ht="30" customHeight="1" x14ac:dyDescent="0.3">
      <c r="A5" s="14" t="s">
        <v>150</v>
      </c>
      <c r="B5" s="14" t="s">
        <v>151</v>
      </c>
      <c r="C5" s="15" t="s">
        <v>160</v>
      </c>
      <c r="D5" s="16" t="s">
        <v>161</v>
      </c>
      <c r="E5" s="17">
        <v>2</v>
      </c>
      <c r="F5" s="18" t="s">
        <v>66</v>
      </c>
      <c r="G5" s="16" t="s">
        <v>162</v>
      </c>
      <c r="H5" s="16" t="s">
        <v>163</v>
      </c>
    </row>
    <row r="6" spans="1:8" ht="18" customHeight="1" x14ac:dyDescent="0.3">
      <c r="A6" s="13" t="s">
        <v>164</v>
      </c>
      <c r="B6" s="13" t="s">
        <v>165</v>
      </c>
      <c r="C6" s="13"/>
      <c r="D6" s="13"/>
      <c r="E6" s="13"/>
      <c r="F6" s="13"/>
      <c r="G6" s="13"/>
      <c r="H6" s="13"/>
    </row>
    <row r="7" spans="1:8" ht="30" customHeight="1" x14ac:dyDescent="0.3">
      <c r="A7" s="14" t="s">
        <v>164</v>
      </c>
      <c r="B7" s="14" t="s">
        <v>165</v>
      </c>
      <c r="C7" s="15" t="s">
        <v>166</v>
      </c>
      <c r="D7" s="16" t="s">
        <v>167</v>
      </c>
      <c r="E7" s="22">
        <v>1</v>
      </c>
      <c r="F7" s="18" t="s">
        <v>45</v>
      </c>
      <c r="G7" s="16" t="s">
        <v>168</v>
      </c>
      <c r="H7" s="16" t="s">
        <v>169</v>
      </c>
    </row>
    <row r="8" spans="1:8" ht="30" customHeight="1" x14ac:dyDescent="0.3">
      <c r="A8" s="19" t="s">
        <v>164</v>
      </c>
      <c r="B8" s="19" t="s">
        <v>165</v>
      </c>
      <c r="C8" s="20" t="s">
        <v>170</v>
      </c>
      <c r="D8" s="21" t="s">
        <v>171</v>
      </c>
      <c r="E8" s="22">
        <v>1</v>
      </c>
      <c r="F8" s="18" t="s">
        <v>45</v>
      </c>
      <c r="G8" s="21" t="s">
        <v>172</v>
      </c>
      <c r="H8" s="21" t="s">
        <v>173</v>
      </c>
    </row>
    <row r="9" spans="1:8" ht="30" customHeight="1" x14ac:dyDescent="0.3">
      <c r="A9" s="14" t="s">
        <v>164</v>
      </c>
      <c r="B9" s="14" t="s">
        <v>165</v>
      </c>
      <c r="C9" s="15" t="s">
        <v>174</v>
      </c>
      <c r="D9" s="16" t="s">
        <v>175</v>
      </c>
      <c r="E9" s="17">
        <v>2</v>
      </c>
      <c r="F9" s="18" t="s">
        <v>66</v>
      </c>
      <c r="G9" s="16" t="s">
        <v>176</v>
      </c>
      <c r="H9" s="16" t="s">
        <v>177</v>
      </c>
    </row>
    <row r="10" spans="1:8" ht="18" customHeight="1" x14ac:dyDescent="0.3">
      <c r="A10" s="13" t="s">
        <v>178</v>
      </c>
      <c r="B10" s="13" t="s">
        <v>179</v>
      </c>
      <c r="C10" s="13"/>
      <c r="D10" s="13"/>
      <c r="E10" s="13"/>
      <c r="F10" s="13"/>
      <c r="G10" s="13"/>
      <c r="H10" s="13"/>
    </row>
    <row r="11" spans="1:8" ht="30" customHeight="1" x14ac:dyDescent="0.3">
      <c r="A11" s="14" t="s">
        <v>178</v>
      </c>
      <c r="B11" s="14" t="s">
        <v>179</v>
      </c>
      <c r="C11" s="15" t="s">
        <v>180</v>
      </c>
      <c r="D11" s="16" t="s">
        <v>181</v>
      </c>
      <c r="E11" s="22">
        <v>1</v>
      </c>
      <c r="F11" s="18" t="s">
        <v>45</v>
      </c>
      <c r="G11" s="16" t="s">
        <v>182</v>
      </c>
      <c r="H11" s="16" t="s">
        <v>23</v>
      </c>
    </row>
    <row r="12" spans="1:8" ht="30" customHeight="1" x14ac:dyDescent="0.3">
      <c r="A12" s="19" t="s">
        <v>178</v>
      </c>
      <c r="B12" s="19" t="s">
        <v>179</v>
      </c>
      <c r="C12" s="20" t="s">
        <v>183</v>
      </c>
      <c r="D12" s="21" t="s">
        <v>184</v>
      </c>
      <c r="E12" s="17">
        <v>2</v>
      </c>
      <c r="F12" s="18" t="s">
        <v>66</v>
      </c>
      <c r="G12" s="21" t="s">
        <v>185</v>
      </c>
      <c r="H12" s="21" t="s">
        <v>173</v>
      </c>
    </row>
    <row r="13" spans="1:8" ht="30" customHeight="1" x14ac:dyDescent="0.3">
      <c r="A13" s="14" t="s">
        <v>178</v>
      </c>
      <c r="B13" s="14" t="s">
        <v>179</v>
      </c>
      <c r="C13" s="15" t="s">
        <v>186</v>
      </c>
      <c r="D13" s="16" t="s">
        <v>187</v>
      </c>
      <c r="E13" s="17">
        <v>2</v>
      </c>
      <c r="F13" s="18" t="s">
        <v>45</v>
      </c>
      <c r="G13" s="16" t="s">
        <v>188</v>
      </c>
      <c r="H13" s="16" t="s">
        <v>189</v>
      </c>
    </row>
    <row r="14" spans="1:8" ht="30" customHeight="1" x14ac:dyDescent="0.3">
      <c r="A14" s="19" t="s">
        <v>178</v>
      </c>
      <c r="B14" s="19" t="s">
        <v>179</v>
      </c>
      <c r="C14" s="20" t="s">
        <v>190</v>
      </c>
      <c r="D14" s="21" t="s">
        <v>191</v>
      </c>
      <c r="E14" s="17">
        <v>2</v>
      </c>
      <c r="F14" s="18" t="s">
        <v>66</v>
      </c>
      <c r="G14" s="21" t="s">
        <v>192</v>
      </c>
      <c r="H14" s="21" t="s">
        <v>193</v>
      </c>
    </row>
    <row r="15" spans="1:8" ht="30" customHeight="1" x14ac:dyDescent="0.3">
      <c r="A15" s="14" t="s">
        <v>178</v>
      </c>
      <c r="B15" s="14" t="s">
        <v>179</v>
      </c>
      <c r="C15" s="15" t="s">
        <v>194</v>
      </c>
      <c r="D15" s="16" t="s">
        <v>195</v>
      </c>
      <c r="E15" s="23">
        <v>3</v>
      </c>
      <c r="F15" s="18" t="s">
        <v>23</v>
      </c>
      <c r="G15" s="16" t="s">
        <v>196</v>
      </c>
      <c r="H15" s="16" t="s">
        <v>23</v>
      </c>
    </row>
    <row r="16" spans="1:8" ht="18" customHeight="1" x14ac:dyDescent="0.3">
      <c r="A16" s="13" t="s">
        <v>197</v>
      </c>
      <c r="B16" s="13" t="s">
        <v>198</v>
      </c>
      <c r="C16" s="13"/>
      <c r="D16" s="13"/>
      <c r="E16" s="13"/>
      <c r="F16" s="13"/>
      <c r="G16" s="13"/>
      <c r="H16" s="13"/>
    </row>
    <row r="17" spans="1:8" ht="30" customHeight="1" x14ac:dyDescent="0.3">
      <c r="A17" s="14" t="s">
        <v>197</v>
      </c>
      <c r="B17" s="14" t="s">
        <v>198</v>
      </c>
      <c r="C17" s="15" t="s">
        <v>199</v>
      </c>
      <c r="D17" s="16" t="s">
        <v>200</v>
      </c>
      <c r="E17" s="17">
        <v>2</v>
      </c>
      <c r="F17" s="18" t="s">
        <v>45</v>
      </c>
      <c r="G17" s="16" t="s">
        <v>201</v>
      </c>
      <c r="H17" s="16" t="s">
        <v>202</v>
      </c>
    </row>
    <row r="18" spans="1:8" ht="30" customHeight="1" x14ac:dyDescent="0.3">
      <c r="A18" s="19" t="s">
        <v>197</v>
      </c>
      <c r="B18" s="19" t="s">
        <v>198</v>
      </c>
      <c r="C18" s="20" t="s">
        <v>203</v>
      </c>
      <c r="D18" s="21" t="s">
        <v>204</v>
      </c>
      <c r="E18" s="23">
        <v>3</v>
      </c>
      <c r="F18" s="18" t="s">
        <v>45</v>
      </c>
      <c r="G18" s="21" t="s">
        <v>205</v>
      </c>
      <c r="H18" s="21" t="s">
        <v>206</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207</v>
      </c>
      <c r="B2" s="13" t="s">
        <v>208</v>
      </c>
      <c r="C2" s="13"/>
      <c r="D2" s="13"/>
      <c r="E2" s="13"/>
      <c r="F2" s="13"/>
      <c r="G2" s="13"/>
      <c r="H2" s="13"/>
    </row>
    <row r="3" spans="1:8" ht="30" customHeight="1" x14ac:dyDescent="0.3">
      <c r="A3" s="14" t="s">
        <v>207</v>
      </c>
      <c r="B3" s="14" t="s">
        <v>208</v>
      </c>
      <c r="C3" s="15" t="s">
        <v>209</v>
      </c>
      <c r="D3" s="16" t="s">
        <v>210</v>
      </c>
      <c r="E3" s="23">
        <v>3</v>
      </c>
      <c r="F3" s="18" t="s">
        <v>45</v>
      </c>
      <c r="G3" s="16" t="s">
        <v>211</v>
      </c>
      <c r="H3" s="16" t="s">
        <v>212</v>
      </c>
    </row>
    <row r="4" spans="1:8" ht="18" customHeight="1" x14ac:dyDescent="0.3">
      <c r="A4" s="13" t="s">
        <v>213</v>
      </c>
      <c r="B4" s="13" t="s">
        <v>214</v>
      </c>
      <c r="C4" s="13"/>
      <c r="D4" s="13"/>
      <c r="E4" s="13"/>
      <c r="F4" s="13"/>
      <c r="G4" s="13"/>
      <c r="H4" s="13"/>
    </row>
    <row r="5" spans="1:8" ht="30" customHeight="1" x14ac:dyDescent="0.3">
      <c r="A5" s="14" t="s">
        <v>213</v>
      </c>
      <c r="B5" s="14" t="s">
        <v>214</v>
      </c>
      <c r="C5" s="15" t="s">
        <v>215</v>
      </c>
      <c r="D5" s="16" t="s">
        <v>216</v>
      </c>
      <c r="E5" s="22">
        <v>1</v>
      </c>
      <c r="F5" s="18" t="s">
        <v>45</v>
      </c>
      <c r="G5" s="16" t="s">
        <v>217</v>
      </c>
      <c r="H5" s="16" t="s">
        <v>212</v>
      </c>
    </row>
    <row r="6" spans="1:8" ht="30" customHeight="1" x14ac:dyDescent="0.3">
      <c r="A6" s="19" t="s">
        <v>213</v>
      </c>
      <c r="B6" s="19" t="s">
        <v>214</v>
      </c>
      <c r="C6" s="20" t="s">
        <v>218</v>
      </c>
      <c r="D6" s="21" t="s">
        <v>219</v>
      </c>
      <c r="E6" s="22">
        <v>1</v>
      </c>
      <c r="F6" s="18" t="s">
        <v>66</v>
      </c>
      <c r="G6" s="21" t="s">
        <v>220</v>
      </c>
      <c r="H6" s="21" t="s">
        <v>221</v>
      </c>
    </row>
    <row r="7" spans="1:8" ht="30" customHeight="1" x14ac:dyDescent="0.3">
      <c r="A7" s="14" t="s">
        <v>213</v>
      </c>
      <c r="B7" s="14" t="s">
        <v>214</v>
      </c>
      <c r="C7" s="15" t="s">
        <v>222</v>
      </c>
      <c r="D7" s="16" t="s">
        <v>223</v>
      </c>
      <c r="E7" s="23">
        <v>3</v>
      </c>
      <c r="F7" s="18" t="s">
        <v>45</v>
      </c>
      <c r="G7" s="16" t="s">
        <v>224</v>
      </c>
      <c r="H7" s="16" t="s">
        <v>225</v>
      </c>
    </row>
    <row r="8" spans="1:8" ht="18" customHeight="1" x14ac:dyDescent="0.3">
      <c r="A8" s="13" t="s">
        <v>226</v>
      </c>
      <c r="B8" s="13" t="s">
        <v>227</v>
      </c>
      <c r="C8" s="13"/>
      <c r="D8" s="13"/>
      <c r="E8" s="13"/>
      <c r="F8" s="13"/>
      <c r="G8" s="13"/>
      <c r="H8" s="13"/>
    </row>
    <row r="9" spans="1:8" ht="30" customHeight="1" x14ac:dyDescent="0.3">
      <c r="A9" s="14" t="s">
        <v>226</v>
      </c>
      <c r="B9" s="14" t="s">
        <v>227</v>
      </c>
      <c r="C9" s="15" t="s">
        <v>228</v>
      </c>
      <c r="D9" s="16" t="s">
        <v>229</v>
      </c>
      <c r="E9" s="22">
        <v>1</v>
      </c>
      <c r="F9" s="18" t="s">
        <v>66</v>
      </c>
      <c r="G9" s="16" t="s">
        <v>230</v>
      </c>
      <c r="H9" s="16" t="s">
        <v>212</v>
      </c>
    </row>
    <row r="10" spans="1:8" ht="30" customHeight="1" x14ac:dyDescent="0.3">
      <c r="A10" s="19" t="s">
        <v>226</v>
      </c>
      <c r="B10" s="19" t="s">
        <v>227</v>
      </c>
      <c r="C10" s="20" t="s">
        <v>231</v>
      </c>
      <c r="D10" s="21" t="s">
        <v>232</v>
      </c>
      <c r="E10" s="17">
        <v>2</v>
      </c>
      <c r="F10" s="18" t="s">
        <v>66</v>
      </c>
      <c r="G10" s="21" t="s">
        <v>233</v>
      </c>
      <c r="H10" s="21" t="s">
        <v>221</v>
      </c>
    </row>
    <row r="11" spans="1:8" ht="30" customHeight="1" x14ac:dyDescent="0.3">
      <c r="A11" s="14" t="s">
        <v>226</v>
      </c>
      <c r="B11" s="14" t="s">
        <v>227</v>
      </c>
      <c r="C11" s="15" t="s">
        <v>234</v>
      </c>
      <c r="D11" s="16" t="s">
        <v>235</v>
      </c>
      <c r="E11" s="17">
        <v>2</v>
      </c>
      <c r="F11" s="18" t="s">
        <v>45</v>
      </c>
      <c r="G11" s="16" t="s">
        <v>236</v>
      </c>
      <c r="H11" s="16" t="s">
        <v>225</v>
      </c>
    </row>
    <row r="12" spans="1:8" ht="30" customHeight="1" x14ac:dyDescent="0.3">
      <c r="A12" s="19" t="s">
        <v>226</v>
      </c>
      <c r="B12" s="19" t="s">
        <v>227</v>
      </c>
      <c r="C12" s="20" t="s">
        <v>237</v>
      </c>
      <c r="D12" s="21" t="s">
        <v>238</v>
      </c>
      <c r="E12" s="17">
        <v>2</v>
      </c>
      <c r="F12" s="18" t="s">
        <v>66</v>
      </c>
      <c r="G12" s="21" t="s">
        <v>239</v>
      </c>
      <c r="H12" s="21" t="s">
        <v>240</v>
      </c>
    </row>
    <row r="13" spans="1:8" ht="30" customHeight="1" x14ac:dyDescent="0.3">
      <c r="A13" s="14" t="s">
        <v>226</v>
      </c>
      <c r="B13" s="14" t="s">
        <v>227</v>
      </c>
      <c r="C13" s="15" t="s">
        <v>241</v>
      </c>
      <c r="D13" s="16" t="s">
        <v>242</v>
      </c>
      <c r="E13" s="23">
        <v>3</v>
      </c>
      <c r="F13" s="18" t="s">
        <v>66</v>
      </c>
      <c r="G13" s="16" t="s">
        <v>243</v>
      </c>
      <c r="H13" s="16" t="s">
        <v>244</v>
      </c>
    </row>
    <row r="14" spans="1:8" ht="18" customHeight="1" x14ac:dyDescent="0.3">
      <c r="A14" s="13" t="s">
        <v>245</v>
      </c>
      <c r="B14" s="13" t="s">
        <v>246</v>
      </c>
      <c r="C14" s="13"/>
      <c r="D14" s="13"/>
      <c r="E14" s="13"/>
      <c r="F14" s="13"/>
      <c r="G14" s="13"/>
      <c r="H14" s="13"/>
    </row>
    <row r="15" spans="1:8" ht="30" customHeight="1" x14ac:dyDescent="0.3">
      <c r="A15" s="14" t="s">
        <v>245</v>
      </c>
      <c r="B15" s="14" t="s">
        <v>246</v>
      </c>
      <c r="C15" s="15" t="s">
        <v>247</v>
      </c>
      <c r="D15" s="16" t="s">
        <v>248</v>
      </c>
      <c r="E15" s="22">
        <v>1</v>
      </c>
      <c r="F15" s="18" t="s">
        <v>66</v>
      </c>
      <c r="G15" s="16" t="s">
        <v>249</v>
      </c>
      <c r="H15" s="16" t="s">
        <v>250</v>
      </c>
    </row>
    <row r="16" spans="1:8" ht="30" customHeight="1" x14ac:dyDescent="0.3">
      <c r="A16" s="19" t="s">
        <v>245</v>
      </c>
      <c r="B16" s="19" t="s">
        <v>246</v>
      </c>
      <c r="C16" s="20" t="s">
        <v>251</v>
      </c>
      <c r="D16" s="21" t="s">
        <v>252</v>
      </c>
      <c r="E16" s="22">
        <v>1</v>
      </c>
      <c r="F16" s="18" t="s">
        <v>66</v>
      </c>
      <c r="G16" s="21" t="s">
        <v>253</v>
      </c>
      <c r="H16" s="21" t="s">
        <v>250</v>
      </c>
    </row>
    <row r="17" spans="1:8" ht="30" customHeight="1" x14ac:dyDescent="0.3">
      <c r="A17" s="14" t="s">
        <v>245</v>
      </c>
      <c r="B17" s="14" t="s">
        <v>246</v>
      </c>
      <c r="C17" s="15" t="s">
        <v>254</v>
      </c>
      <c r="D17" s="16" t="s">
        <v>255</v>
      </c>
      <c r="E17" s="17">
        <v>2</v>
      </c>
      <c r="F17" s="18" t="s">
        <v>45</v>
      </c>
      <c r="G17" s="16" t="s">
        <v>256</v>
      </c>
      <c r="H17" s="16" t="s">
        <v>51</v>
      </c>
    </row>
    <row r="18" spans="1:8" ht="30" customHeight="1" x14ac:dyDescent="0.3">
      <c r="A18" s="19" t="s">
        <v>245</v>
      </c>
      <c r="B18" s="19" t="s">
        <v>246</v>
      </c>
      <c r="C18" s="20" t="s">
        <v>257</v>
      </c>
      <c r="D18" s="21" t="s">
        <v>258</v>
      </c>
      <c r="E18" s="17">
        <v>2</v>
      </c>
      <c r="F18" s="18" t="s">
        <v>66</v>
      </c>
      <c r="G18" s="21" t="s">
        <v>259</v>
      </c>
      <c r="H18" s="21" t="s">
        <v>250</v>
      </c>
    </row>
    <row r="19" spans="1:8" ht="30" customHeight="1" x14ac:dyDescent="0.3">
      <c r="A19" s="14" t="s">
        <v>245</v>
      </c>
      <c r="B19" s="14" t="s">
        <v>246</v>
      </c>
      <c r="C19" s="15" t="s">
        <v>260</v>
      </c>
      <c r="D19" s="16" t="s">
        <v>261</v>
      </c>
      <c r="E19" s="17">
        <v>2</v>
      </c>
      <c r="F19" s="18" t="s">
        <v>45</v>
      </c>
      <c r="G19" s="16" t="s">
        <v>262</v>
      </c>
      <c r="H19" s="16" t="s">
        <v>250</v>
      </c>
    </row>
    <row r="20" spans="1:8" ht="30" customHeight="1" x14ac:dyDescent="0.3">
      <c r="A20" s="19" t="s">
        <v>245</v>
      </c>
      <c r="B20" s="19" t="s">
        <v>246</v>
      </c>
      <c r="C20" s="20" t="s">
        <v>263</v>
      </c>
      <c r="D20" s="21" t="s">
        <v>264</v>
      </c>
      <c r="E20" s="17">
        <v>2</v>
      </c>
      <c r="F20" s="18" t="s">
        <v>45</v>
      </c>
      <c r="G20" s="21" t="s">
        <v>265</v>
      </c>
      <c r="H20" s="21" t="s">
        <v>225</v>
      </c>
    </row>
    <row r="21" spans="1:8" ht="30" customHeight="1" x14ac:dyDescent="0.3">
      <c r="A21" s="14" t="s">
        <v>245</v>
      </c>
      <c r="B21" s="14" t="s">
        <v>246</v>
      </c>
      <c r="C21" s="15" t="s">
        <v>266</v>
      </c>
      <c r="D21" s="16" t="s">
        <v>267</v>
      </c>
      <c r="E21" s="23">
        <v>3</v>
      </c>
      <c r="F21" s="18" t="s">
        <v>23</v>
      </c>
      <c r="G21" s="16" t="s">
        <v>268</v>
      </c>
      <c r="H21" s="16" t="s">
        <v>23</v>
      </c>
    </row>
    <row r="22" spans="1:8" ht="30" customHeight="1" x14ac:dyDescent="0.3">
      <c r="A22" s="19" t="s">
        <v>245</v>
      </c>
      <c r="B22" s="19" t="s">
        <v>246</v>
      </c>
      <c r="C22" s="20" t="s">
        <v>269</v>
      </c>
      <c r="D22" s="21" t="s">
        <v>270</v>
      </c>
      <c r="E22" s="23">
        <v>3</v>
      </c>
      <c r="F22" s="18" t="s">
        <v>23</v>
      </c>
      <c r="G22" s="21" t="s">
        <v>271</v>
      </c>
      <c r="H22" s="21" t="s">
        <v>23</v>
      </c>
    </row>
    <row r="23" spans="1:8" ht="18" customHeight="1" x14ac:dyDescent="0.3">
      <c r="A23" s="13" t="s">
        <v>272</v>
      </c>
      <c r="B23" s="13" t="s">
        <v>273</v>
      </c>
      <c r="C23" s="13"/>
      <c r="D23" s="13"/>
      <c r="E23" s="13"/>
      <c r="F23" s="13"/>
      <c r="G23" s="13"/>
      <c r="H23" s="13"/>
    </row>
    <row r="24" spans="1:8" ht="30" customHeight="1" x14ac:dyDescent="0.3">
      <c r="A24" s="14" t="s">
        <v>272</v>
      </c>
      <c r="B24" s="14" t="s">
        <v>273</v>
      </c>
      <c r="C24" s="15" t="s">
        <v>274</v>
      </c>
      <c r="D24" s="16" t="s">
        <v>275</v>
      </c>
      <c r="E24" s="22">
        <v>1</v>
      </c>
      <c r="F24" s="18" t="s">
        <v>66</v>
      </c>
      <c r="G24" s="16" t="s">
        <v>276</v>
      </c>
      <c r="H24" s="16" t="s">
        <v>277</v>
      </c>
    </row>
    <row r="25" spans="1:8" ht="30" customHeight="1" x14ac:dyDescent="0.3">
      <c r="A25" s="19" t="s">
        <v>272</v>
      </c>
      <c r="B25" s="19" t="s">
        <v>273</v>
      </c>
      <c r="C25" s="20" t="s">
        <v>278</v>
      </c>
      <c r="D25" s="21" t="s">
        <v>279</v>
      </c>
      <c r="E25" s="22">
        <v>1</v>
      </c>
      <c r="F25" s="18" t="s">
        <v>66</v>
      </c>
      <c r="G25" s="21" t="s">
        <v>280</v>
      </c>
      <c r="H25" s="21" t="s">
        <v>250</v>
      </c>
    </row>
    <row r="26" spans="1:8" ht="30" customHeight="1" x14ac:dyDescent="0.3">
      <c r="A26" s="14" t="s">
        <v>272</v>
      </c>
      <c r="B26" s="14" t="s">
        <v>273</v>
      </c>
      <c r="C26" s="15" t="s">
        <v>281</v>
      </c>
      <c r="D26" s="16" t="s">
        <v>282</v>
      </c>
      <c r="E26" s="22">
        <v>1</v>
      </c>
      <c r="F26" s="18" t="s">
        <v>66</v>
      </c>
      <c r="G26" s="16" t="s">
        <v>280</v>
      </c>
      <c r="H26" s="16" t="s">
        <v>283</v>
      </c>
    </row>
    <row r="27" spans="1:8" ht="30" customHeight="1" x14ac:dyDescent="0.3">
      <c r="A27" s="19" t="s">
        <v>272</v>
      </c>
      <c r="B27" s="19" t="s">
        <v>273</v>
      </c>
      <c r="C27" s="20" t="s">
        <v>284</v>
      </c>
      <c r="D27" s="21" t="s">
        <v>285</v>
      </c>
      <c r="E27" s="17">
        <v>2</v>
      </c>
      <c r="F27" s="18" t="s">
        <v>23</v>
      </c>
      <c r="G27" s="21" t="s">
        <v>286</v>
      </c>
      <c r="H27" s="21" t="s">
        <v>23</v>
      </c>
    </row>
    <row r="28" spans="1:8" ht="30" customHeight="1" x14ac:dyDescent="0.3">
      <c r="A28" s="14" t="s">
        <v>272</v>
      </c>
      <c r="B28" s="14" t="s">
        <v>273</v>
      </c>
      <c r="C28" s="15" t="s">
        <v>287</v>
      </c>
      <c r="D28" s="16" t="s">
        <v>288</v>
      </c>
      <c r="E28" s="17">
        <v>2</v>
      </c>
      <c r="F28" s="18" t="s">
        <v>23</v>
      </c>
      <c r="G28" s="16" t="s">
        <v>289</v>
      </c>
      <c r="H28" s="16" t="s">
        <v>23</v>
      </c>
    </row>
    <row r="29" spans="1:8" ht="30" customHeight="1" x14ac:dyDescent="0.3">
      <c r="A29" s="19" t="s">
        <v>272</v>
      </c>
      <c r="B29" s="19" t="s">
        <v>273</v>
      </c>
      <c r="C29" s="20" t="s">
        <v>290</v>
      </c>
      <c r="D29" s="21" t="s">
        <v>291</v>
      </c>
      <c r="E29" s="23">
        <v>3</v>
      </c>
      <c r="F29" s="18" t="s">
        <v>66</v>
      </c>
      <c r="G29" s="21" t="s">
        <v>292</v>
      </c>
      <c r="H29" s="21" t="s">
        <v>51</v>
      </c>
    </row>
    <row r="30" spans="1:8" ht="30" customHeight="1" x14ac:dyDescent="0.3">
      <c r="A30" s="14" t="s">
        <v>272</v>
      </c>
      <c r="B30" s="14" t="s">
        <v>273</v>
      </c>
      <c r="C30" s="15" t="s">
        <v>293</v>
      </c>
      <c r="D30" s="16" t="s">
        <v>294</v>
      </c>
      <c r="E30" s="23">
        <v>3</v>
      </c>
      <c r="F30" s="18" t="s">
        <v>66</v>
      </c>
      <c r="G30" s="16" t="s">
        <v>295</v>
      </c>
      <c r="H30" s="16" t="s">
        <v>51</v>
      </c>
    </row>
    <row r="31" spans="1:8" ht="30" customHeight="1" x14ac:dyDescent="0.3">
      <c r="A31" s="19" t="s">
        <v>272</v>
      </c>
      <c r="B31" s="19" t="s">
        <v>273</v>
      </c>
      <c r="C31" s="20" t="s">
        <v>296</v>
      </c>
      <c r="D31" s="21" t="s">
        <v>297</v>
      </c>
      <c r="E31" s="23">
        <v>3</v>
      </c>
      <c r="F31" s="18" t="s">
        <v>66</v>
      </c>
      <c r="G31" s="21" t="s">
        <v>298</v>
      </c>
      <c r="H31" s="21" t="s">
        <v>250</v>
      </c>
    </row>
    <row r="32" spans="1:8" ht="18" customHeight="1" x14ac:dyDescent="0.3">
      <c r="A32" s="13" t="s">
        <v>299</v>
      </c>
      <c r="B32" s="13" t="s">
        <v>300</v>
      </c>
      <c r="C32" s="13"/>
      <c r="D32" s="13"/>
      <c r="E32" s="13"/>
      <c r="F32" s="13"/>
      <c r="G32" s="13"/>
      <c r="H32" s="13"/>
    </row>
    <row r="33" spans="1:8" ht="30" customHeight="1" x14ac:dyDescent="0.3">
      <c r="A33" s="14" t="s">
        <v>299</v>
      </c>
      <c r="B33" s="14" t="s">
        <v>300</v>
      </c>
      <c r="C33" s="15" t="s">
        <v>301</v>
      </c>
      <c r="D33" s="16" t="s">
        <v>302</v>
      </c>
      <c r="E33" s="23">
        <v>3</v>
      </c>
      <c r="F33" s="18" t="s">
        <v>23</v>
      </c>
      <c r="G33" s="16" t="s">
        <v>303</v>
      </c>
      <c r="H33" s="16" t="s">
        <v>23</v>
      </c>
    </row>
    <row r="34" spans="1:8" ht="18" customHeight="1" x14ac:dyDescent="0.3">
      <c r="A34" s="13" t="s">
        <v>304</v>
      </c>
      <c r="B34" s="13" t="s">
        <v>305</v>
      </c>
      <c r="C34" s="13"/>
      <c r="D34" s="13"/>
      <c r="E34" s="13"/>
      <c r="F34" s="13"/>
      <c r="G34" s="13"/>
      <c r="H34" s="13"/>
    </row>
    <row r="35" spans="1:8" ht="30" customHeight="1" x14ac:dyDescent="0.3">
      <c r="A35" s="14" t="s">
        <v>304</v>
      </c>
      <c r="B35" s="14" t="s">
        <v>305</v>
      </c>
      <c r="C35" s="15" t="s">
        <v>306</v>
      </c>
      <c r="D35" s="16" t="s">
        <v>307</v>
      </c>
      <c r="E35" s="17">
        <v>2</v>
      </c>
      <c r="F35" s="18" t="s">
        <v>66</v>
      </c>
      <c r="G35" s="16" t="s">
        <v>308</v>
      </c>
      <c r="H35" s="16" t="s">
        <v>225</v>
      </c>
    </row>
    <row r="36" spans="1:8" ht="30" customHeight="1" x14ac:dyDescent="0.3">
      <c r="A36" s="19" t="s">
        <v>304</v>
      </c>
      <c r="B36" s="19" t="s">
        <v>305</v>
      </c>
      <c r="C36" s="20" t="s">
        <v>309</v>
      </c>
      <c r="D36" s="21" t="s">
        <v>310</v>
      </c>
      <c r="E36" s="17">
        <v>2</v>
      </c>
      <c r="F36" s="18" t="s">
        <v>45</v>
      </c>
      <c r="G36" s="21" t="s">
        <v>311</v>
      </c>
      <c r="H36" s="21" t="s">
        <v>277</v>
      </c>
    </row>
    <row r="37" spans="1:8" ht="30" customHeight="1" x14ac:dyDescent="0.3">
      <c r="A37" s="14" t="s">
        <v>304</v>
      </c>
      <c r="B37" s="14" t="s">
        <v>305</v>
      </c>
      <c r="C37" s="15" t="s">
        <v>312</v>
      </c>
      <c r="D37" s="16" t="s">
        <v>313</v>
      </c>
      <c r="E37" s="23">
        <v>3</v>
      </c>
      <c r="F37" s="18" t="s">
        <v>23</v>
      </c>
      <c r="G37" s="16" t="s">
        <v>314</v>
      </c>
      <c r="H37" s="16" t="s">
        <v>23</v>
      </c>
    </row>
    <row r="38" spans="1:8" ht="30" customHeight="1" x14ac:dyDescent="0.3">
      <c r="A38" s="19" t="s">
        <v>304</v>
      </c>
      <c r="B38" s="19" t="s">
        <v>305</v>
      </c>
      <c r="C38" s="20" t="s">
        <v>315</v>
      </c>
      <c r="D38" s="21" t="s">
        <v>316</v>
      </c>
      <c r="E38" s="23">
        <v>3</v>
      </c>
      <c r="F38" s="18" t="s">
        <v>23</v>
      </c>
      <c r="G38" s="21" t="s">
        <v>317</v>
      </c>
      <c r="H38" s="21" t="s">
        <v>23</v>
      </c>
    </row>
    <row r="39" spans="1:8" ht="30" customHeight="1" x14ac:dyDescent="0.3">
      <c r="A39" s="14" t="s">
        <v>304</v>
      </c>
      <c r="B39" s="14" t="s">
        <v>305</v>
      </c>
      <c r="C39" s="15" t="s">
        <v>318</v>
      </c>
      <c r="D39" s="16" t="s">
        <v>319</v>
      </c>
      <c r="E39" s="23">
        <v>3</v>
      </c>
      <c r="F39" s="18" t="s">
        <v>45</v>
      </c>
      <c r="G39" s="16" t="s">
        <v>320</v>
      </c>
      <c r="H39" s="16" t="s">
        <v>212</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321</v>
      </c>
      <c r="B2" s="13" t="s">
        <v>322</v>
      </c>
      <c r="C2" s="13"/>
      <c r="D2" s="13"/>
      <c r="E2" s="13"/>
      <c r="F2" s="13"/>
      <c r="G2" s="13"/>
      <c r="H2" s="13"/>
    </row>
    <row r="3" spans="1:8" ht="30" customHeight="1" x14ac:dyDescent="0.3">
      <c r="A3" s="14" t="s">
        <v>321</v>
      </c>
      <c r="B3" s="14" t="s">
        <v>322</v>
      </c>
      <c r="C3" s="15" t="s">
        <v>323</v>
      </c>
      <c r="D3" s="16" t="s">
        <v>324</v>
      </c>
      <c r="E3" s="22">
        <v>1</v>
      </c>
      <c r="F3" s="18" t="s">
        <v>66</v>
      </c>
      <c r="G3" s="16" t="s">
        <v>325</v>
      </c>
      <c r="H3" s="16" t="s">
        <v>212</v>
      </c>
    </row>
    <row r="4" spans="1:8" ht="30" customHeight="1" x14ac:dyDescent="0.3">
      <c r="A4" s="19" t="s">
        <v>321</v>
      </c>
      <c r="B4" s="19" t="s">
        <v>322</v>
      </c>
      <c r="C4" s="20" t="s">
        <v>326</v>
      </c>
      <c r="D4" s="21" t="s">
        <v>327</v>
      </c>
      <c r="E4" s="17">
        <v>2</v>
      </c>
      <c r="F4" s="18" t="s">
        <v>66</v>
      </c>
      <c r="G4" s="21" t="s">
        <v>328</v>
      </c>
      <c r="H4" s="21" t="s">
        <v>212</v>
      </c>
    </row>
    <row r="5" spans="1:8" ht="30" customHeight="1" x14ac:dyDescent="0.3">
      <c r="A5" s="14" t="s">
        <v>321</v>
      </c>
      <c r="B5" s="14" t="s">
        <v>322</v>
      </c>
      <c r="C5" s="15" t="s">
        <v>329</v>
      </c>
      <c r="D5" s="16" t="s">
        <v>330</v>
      </c>
      <c r="E5" s="17">
        <v>2</v>
      </c>
      <c r="F5" s="18" t="s">
        <v>66</v>
      </c>
      <c r="G5" s="16" t="s">
        <v>331</v>
      </c>
      <c r="H5" s="16" t="s">
        <v>212</v>
      </c>
    </row>
    <row r="6" spans="1:8" ht="30" customHeight="1" x14ac:dyDescent="0.3">
      <c r="A6" s="19" t="s">
        <v>321</v>
      </c>
      <c r="B6" s="19" t="s">
        <v>322</v>
      </c>
      <c r="C6" s="20" t="s">
        <v>332</v>
      </c>
      <c r="D6" s="21" t="s">
        <v>333</v>
      </c>
      <c r="E6" s="23">
        <v>3</v>
      </c>
      <c r="F6" s="18" t="s">
        <v>66</v>
      </c>
      <c r="G6" s="21" t="s">
        <v>334</v>
      </c>
      <c r="H6" s="21" t="s">
        <v>212</v>
      </c>
    </row>
    <row r="7" spans="1:8" ht="30" customHeight="1" x14ac:dyDescent="0.3">
      <c r="A7" s="14" t="s">
        <v>321</v>
      </c>
      <c r="B7" s="14" t="s">
        <v>322</v>
      </c>
      <c r="C7" s="15" t="s">
        <v>335</v>
      </c>
      <c r="D7" s="16" t="s">
        <v>336</v>
      </c>
      <c r="E7" s="23">
        <v>3</v>
      </c>
      <c r="F7" s="18" t="s">
        <v>23</v>
      </c>
      <c r="G7" s="16" t="s">
        <v>337</v>
      </c>
      <c r="H7" s="16" t="s">
        <v>23</v>
      </c>
    </row>
    <row r="8" spans="1:8" ht="18" customHeight="1" x14ac:dyDescent="0.3">
      <c r="A8" s="13" t="s">
        <v>338</v>
      </c>
      <c r="B8" s="13" t="s">
        <v>339</v>
      </c>
      <c r="C8" s="13"/>
      <c r="D8" s="13"/>
      <c r="E8" s="13"/>
      <c r="F8" s="13"/>
      <c r="G8" s="13"/>
      <c r="H8" s="13"/>
    </row>
    <row r="9" spans="1:8" ht="30" customHeight="1" x14ac:dyDescent="0.3">
      <c r="A9" s="14" t="s">
        <v>338</v>
      </c>
      <c r="B9" s="14" t="s">
        <v>339</v>
      </c>
      <c r="C9" s="15" t="s">
        <v>340</v>
      </c>
      <c r="D9" s="16" t="s">
        <v>341</v>
      </c>
      <c r="E9" s="17">
        <v>2</v>
      </c>
      <c r="F9" s="18" t="s">
        <v>66</v>
      </c>
      <c r="G9" s="16" t="s">
        <v>342</v>
      </c>
      <c r="H9" s="16" t="s">
        <v>212</v>
      </c>
    </row>
    <row r="10" spans="1:8" ht="30" customHeight="1" x14ac:dyDescent="0.3">
      <c r="A10" s="19" t="s">
        <v>338</v>
      </c>
      <c r="B10" s="19" t="s">
        <v>339</v>
      </c>
      <c r="C10" s="20" t="s">
        <v>343</v>
      </c>
      <c r="D10" s="21" t="s">
        <v>344</v>
      </c>
      <c r="E10" s="23">
        <v>3</v>
      </c>
      <c r="F10" s="18" t="s">
        <v>66</v>
      </c>
      <c r="G10" s="21" t="s">
        <v>345</v>
      </c>
      <c r="H10" s="21" t="s">
        <v>212</v>
      </c>
    </row>
    <row r="11" spans="1:8" ht="30" customHeight="1" x14ac:dyDescent="0.3">
      <c r="A11" s="14" t="s">
        <v>338</v>
      </c>
      <c r="B11" s="14" t="s">
        <v>339</v>
      </c>
      <c r="C11" s="15" t="s">
        <v>346</v>
      </c>
      <c r="D11" s="16" t="s">
        <v>347</v>
      </c>
      <c r="E11" s="23">
        <v>3</v>
      </c>
      <c r="F11" s="18" t="s">
        <v>23</v>
      </c>
      <c r="G11" s="16" t="s">
        <v>348</v>
      </c>
      <c r="H11" s="16" t="s">
        <v>23</v>
      </c>
    </row>
    <row r="12" spans="1:8" ht="30" customHeight="1" x14ac:dyDescent="0.3">
      <c r="A12" s="19" t="s">
        <v>338</v>
      </c>
      <c r="B12" s="19" t="s">
        <v>339</v>
      </c>
      <c r="C12" s="20" t="s">
        <v>349</v>
      </c>
      <c r="D12" s="21" t="s">
        <v>350</v>
      </c>
      <c r="E12" s="23">
        <v>3</v>
      </c>
      <c r="F12" s="18" t="s">
        <v>66</v>
      </c>
      <c r="G12" s="21" t="s">
        <v>351</v>
      </c>
      <c r="H12" s="21" t="s">
        <v>352</v>
      </c>
    </row>
    <row r="13" spans="1:8" ht="30" customHeight="1" x14ac:dyDescent="0.3">
      <c r="A13" s="14" t="s">
        <v>338</v>
      </c>
      <c r="B13" s="14" t="s">
        <v>339</v>
      </c>
      <c r="C13" s="15" t="s">
        <v>353</v>
      </c>
      <c r="D13" s="16" t="s">
        <v>354</v>
      </c>
      <c r="E13" s="23">
        <v>3</v>
      </c>
      <c r="F13" s="18" t="s">
        <v>66</v>
      </c>
      <c r="G13" s="16" t="s">
        <v>355</v>
      </c>
      <c r="H13" s="16" t="s">
        <v>159</v>
      </c>
    </row>
    <row r="14" spans="1:8" ht="18" customHeight="1" x14ac:dyDescent="0.3">
      <c r="A14" s="13" t="s">
        <v>356</v>
      </c>
      <c r="B14" s="13" t="s">
        <v>357</v>
      </c>
      <c r="C14" s="13"/>
      <c r="D14" s="13"/>
      <c r="E14" s="13"/>
      <c r="F14" s="13"/>
      <c r="G14" s="13"/>
      <c r="H14" s="13"/>
    </row>
    <row r="15" spans="1:8" ht="30" customHeight="1" x14ac:dyDescent="0.3">
      <c r="A15" s="14" t="s">
        <v>356</v>
      </c>
      <c r="B15" s="14" t="s">
        <v>357</v>
      </c>
      <c r="C15" s="15" t="s">
        <v>358</v>
      </c>
      <c r="D15" s="16" t="s">
        <v>359</v>
      </c>
      <c r="E15" s="17">
        <v>2</v>
      </c>
      <c r="F15" s="18" t="s">
        <v>23</v>
      </c>
      <c r="G15" s="16" t="s">
        <v>360</v>
      </c>
      <c r="H15" s="16" t="s">
        <v>23</v>
      </c>
    </row>
    <row r="16" spans="1:8" ht="30" customHeight="1" x14ac:dyDescent="0.3">
      <c r="A16" s="19" t="s">
        <v>356</v>
      </c>
      <c r="B16" s="19" t="s">
        <v>357</v>
      </c>
      <c r="C16" s="20" t="s">
        <v>361</v>
      </c>
      <c r="D16" s="21" t="s">
        <v>362</v>
      </c>
      <c r="E16" s="17">
        <v>2</v>
      </c>
      <c r="F16" s="18" t="s">
        <v>23</v>
      </c>
      <c r="G16" s="21" t="s">
        <v>360</v>
      </c>
      <c r="H16" s="21" t="s">
        <v>23</v>
      </c>
    </row>
    <row r="17" spans="1:8" ht="18" customHeight="1" x14ac:dyDescent="0.3">
      <c r="A17" s="13" t="s">
        <v>363</v>
      </c>
      <c r="B17" s="13" t="s">
        <v>364</v>
      </c>
      <c r="C17" s="13"/>
      <c r="D17" s="13"/>
      <c r="E17" s="13"/>
      <c r="F17" s="13"/>
      <c r="G17" s="13"/>
      <c r="H17" s="13"/>
    </row>
    <row r="18" spans="1:8" ht="30" customHeight="1" x14ac:dyDescent="0.3">
      <c r="A18" s="14" t="s">
        <v>363</v>
      </c>
      <c r="B18" s="14" t="s">
        <v>364</v>
      </c>
      <c r="C18" s="15" t="s">
        <v>365</v>
      </c>
      <c r="D18" s="16" t="s">
        <v>366</v>
      </c>
      <c r="E18" s="22">
        <v>1</v>
      </c>
      <c r="F18" s="18" t="s">
        <v>23</v>
      </c>
      <c r="G18" s="16" t="s">
        <v>367</v>
      </c>
      <c r="H18" s="16" t="s">
        <v>23</v>
      </c>
    </row>
    <row r="19" spans="1:8" ht="30" customHeight="1" x14ac:dyDescent="0.3">
      <c r="A19" s="19" t="s">
        <v>363</v>
      </c>
      <c r="B19" s="19" t="s">
        <v>364</v>
      </c>
      <c r="C19" s="20" t="s">
        <v>368</v>
      </c>
      <c r="D19" s="21" t="s">
        <v>369</v>
      </c>
      <c r="E19" s="17">
        <v>2</v>
      </c>
      <c r="F19" s="18" t="s">
        <v>23</v>
      </c>
      <c r="G19" s="21" t="s">
        <v>367</v>
      </c>
      <c r="H19" s="21" t="s">
        <v>23</v>
      </c>
    </row>
    <row r="20" spans="1:8" ht="30" customHeight="1" x14ac:dyDescent="0.3">
      <c r="A20" s="14" t="s">
        <v>363</v>
      </c>
      <c r="B20" s="14" t="s">
        <v>364</v>
      </c>
      <c r="C20" s="15" t="s">
        <v>370</v>
      </c>
      <c r="D20" s="16" t="s">
        <v>371</v>
      </c>
      <c r="E20" s="17">
        <v>2</v>
      </c>
      <c r="F20" s="18" t="s">
        <v>23</v>
      </c>
      <c r="G20" s="16" t="s">
        <v>367</v>
      </c>
      <c r="H20" s="16" t="s">
        <v>23</v>
      </c>
    </row>
    <row r="21" spans="1:8" ht="30" customHeight="1" x14ac:dyDescent="0.3">
      <c r="A21" s="19" t="s">
        <v>363</v>
      </c>
      <c r="B21" s="19" t="s">
        <v>364</v>
      </c>
      <c r="C21" s="20" t="s">
        <v>372</v>
      </c>
      <c r="D21" s="21" t="s">
        <v>373</v>
      </c>
      <c r="E21" s="17">
        <v>2</v>
      </c>
      <c r="F21" s="18" t="s">
        <v>23</v>
      </c>
      <c r="G21" s="21" t="s">
        <v>367</v>
      </c>
      <c r="H21" s="21" t="s">
        <v>23</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374</v>
      </c>
      <c r="B2" s="13" t="s">
        <v>375</v>
      </c>
      <c r="C2" s="13"/>
      <c r="D2" s="13"/>
      <c r="E2" s="13"/>
      <c r="F2" s="13"/>
      <c r="G2" s="13"/>
      <c r="H2" s="13"/>
    </row>
    <row r="3" spans="1:8" ht="30" customHeight="1" x14ac:dyDescent="0.3">
      <c r="A3" s="14" t="s">
        <v>374</v>
      </c>
      <c r="B3" s="14" t="s">
        <v>375</v>
      </c>
      <c r="C3" s="15" t="s">
        <v>376</v>
      </c>
      <c r="D3" s="16" t="s">
        <v>377</v>
      </c>
      <c r="E3" s="17">
        <v>2</v>
      </c>
      <c r="F3" s="18" t="s">
        <v>45</v>
      </c>
      <c r="G3" s="16" t="s">
        <v>378</v>
      </c>
      <c r="H3" s="16" t="s">
        <v>60</v>
      </c>
    </row>
    <row r="4" spans="1:8" ht="18" customHeight="1" x14ac:dyDescent="0.3">
      <c r="A4" s="13" t="s">
        <v>379</v>
      </c>
      <c r="B4" s="13" t="s">
        <v>380</v>
      </c>
      <c r="C4" s="13"/>
      <c r="D4" s="13"/>
      <c r="E4" s="13"/>
      <c r="F4" s="13"/>
      <c r="G4" s="13"/>
      <c r="H4" s="13"/>
    </row>
    <row r="5" spans="1:8" ht="30" customHeight="1" x14ac:dyDescent="0.3">
      <c r="A5" s="14" t="s">
        <v>379</v>
      </c>
      <c r="B5" s="14" t="s">
        <v>380</v>
      </c>
      <c r="C5" s="15" t="s">
        <v>381</v>
      </c>
      <c r="D5" s="16" t="s">
        <v>382</v>
      </c>
      <c r="E5" s="22">
        <v>1</v>
      </c>
      <c r="F5" s="18" t="s">
        <v>45</v>
      </c>
      <c r="G5" s="16" t="s">
        <v>383</v>
      </c>
      <c r="H5" s="16" t="s">
        <v>384</v>
      </c>
    </row>
    <row r="6" spans="1:8" ht="30" customHeight="1" x14ac:dyDescent="0.3">
      <c r="A6" s="19" t="s">
        <v>379</v>
      </c>
      <c r="B6" s="19" t="s">
        <v>380</v>
      </c>
      <c r="C6" s="20" t="s">
        <v>385</v>
      </c>
      <c r="D6" s="21" t="s">
        <v>386</v>
      </c>
      <c r="E6" s="22">
        <v>1</v>
      </c>
      <c r="F6" s="18" t="s">
        <v>23</v>
      </c>
      <c r="G6" s="21" t="s">
        <v>387</v>
      </c>
      <c r="H6" s="21" t="s">
        <v>23</v>
      </c>
    </row>
    <row r="7" spans="1:8" ht="30" customHeight="1" x14ac:dyDescent="0.3">
      <c r="A7" s="14" t="s">
        <v>379</v>
      </c>
      <c r="B7" s="14" t="s">
        <v>380</v>
      </c>
      <c r="C7" s="15" t="s">
        <v>388</v>
      </c>
      <c r="D7" s="16" t="s">
        <v>389</v>
      </c>
      <c r="E7" s="17">
        <v>2</v>
      </c>
      <c r="F7" s="18" t="s">
        <v>23</v>
      </c>
      <c r="G7" s="16" t="s">
        <v>390</v>
      </c>
      <c r="H7" s="16" t="s">
        <v>23</v>
      </c>
    </row>
    <row r="8" spans="1:8" ht="30" customHeight="1" x14ac:dyDescent="0.3">
      <c r="A8" s="19" t="s">
        <v>379</v>
      </c>
      <c r="B8" s="19" t="s">
        <v>380</v>
      </c>
      <c r="C8" s="20" t="s">
        <v>391</v>
      </c>
      <c r="D8" s="21" t="s">
        <v>392</v>
      </c>
      <c r="E8" s="23">
        <v>3</v>
      </c>
      <c r="F8" s="18" t="s">
        <v>23</v>
      </c>
      <c r="G8" s="21" t="s">
        <v>393</v>
      </c>
      <c r="H8" s="21" t="s">
        <v>23</v>
      </c>
    </row>
    <row r="9" spans="1:8" ht="30" customHeight="1" x14ac:dyDescent="0.3">
      <c r="A9" s="14" t="s">
        <v>379</v>
      </c>
      <c r="B9" s="14" t="s">
        <v>380</v>
      </c>
      <c r="C9" s="15" t="s">
        <v>394</v>
      </c>
      <c r="D9" s="16" t="s">
        <v>395</v>
      </c>
      <c r="E9" s="23">
        <v>3</v>
      </c>
      <c r="F9" s="18" t="s">
        <v>45</v>
      </c>
      <c r="G9" s="16" t="s">
        <v>396</v>
      </c>
      <c r="H9" s="16" t="s">
        <v>397</v>
      </c>
    </row>
    <row r="10" spans="1:8" ht="30" customHeight="1" x14ac:dyDescent="0.3">
      <c r="A10" s="19" t="s">
        <v>379</v>
      </c>
      <c r="B10" s="19" t="s">
        <v>380</v>
      </c>
      <c r="C10" s="20" t="s">
        <v>398</v>
      </c>
      <c r="D10" s="21" t="s">
        <v>399</v>
      </c>
      <c r="E10" s="23">
        <v>3</v>
      </c>
      <c r="F10" s="18" t="s">
        <v>23</v>
      </c>
      <c r="G10" s="21" t="s">
        <v>400</v>
      </c>
      <c r="H10" s="21" t="s">
        <v>23</v>
      </c>
    </row>
    <row r="11" spans="1:8" ht="18" customHeight="1" x14ac:dyDescent="0.3">
      <c r="A11" s="13" t="s">
        <v>401</v>
      </c>
      <c r="B11" s="13" t="s">
        <v>402</v>
      </c>
      <c r="C11" s="13"/>
      <c r="D11" s="13"/>
      <c r="E11" s="13"/>
      <c r="F11" s="13"/>
      <c r="G11" s="13"/>
      <c r="H11" s="13"/>
    </row>
    <row r="12" spans="1:8" ht="30" customHeight="1" x14ac:dyDescent="0.3">
      <c r="A12" s="14" t="s">
        <v>401</v>
      </c>
      <c r="B12" s="14" t="s">
        <v>402</v>
      </c>
      <c r="C12" s="15" t="s">
        <v>403</v>
      </c>
      <c r="D12" s="16" t="s">
        <v>404</v>
      </c>
      <c r="E12" s="22">
        <v>1</v>
      </c>
      <c r="F12" s="18" t="s">
        <v>45</v>
      </c>
      <c r="G12" s="16" t="s">
        <v>405</v>
      </c>
      <c r="H12" s="16" t="s">
        <v>406</v>
      </c>
    </row>
    <row r="13" spans="1:8" ht="30" customHeight="1" x14ac:dyDescent="0.3">
      <c r="A13" s="19" t="s">
        <v>401</v>
      </c>
      <c r="B13" s="19" t="s">
        <v>402</v>
      </c>
      <c r="C13" s="20" t="s">
        <v>407</v>
      </c>
      <c r="D13" s="21" t="s">
        <v>408</v>
      </c>
      <c r="E13" s="22">
        <v>1</v>
      </c>
      <c r="F13" s="18" t="s">
        <v>45</v>
      </c>
      <c r="G13" s="21" t="s">
        <v>409</v>
      </c>
      <c r="H13" s="21" t="s">
        <v>60</v>
      </c>
    </row>
    <row r="14" spans="1:8" ht="30" customHeight="1" x14ac:dyDescent="0.3">
      <c r="A14" s="14" t="s">
        <v>401</v>
      </c>
      <c r="B14" s="14" t="s">
        <v>402</v>
      </c>
      <c r="C14" s="15" t="s">
        <v>410</v>
      </c>
      <c r="D14" s="16" t="s">
        <v>411</v>
      </c>
      <c r="E14" s="23">
        <v>3</v>
      </c>
      <c r="F14" s="18" t="s">
        <v>23</v>
      </c>
      <c r="G14" s="16" t="s">
        <v>412</v>
      </c>
      <c r="H14" s="16" t="s">
        <v>23</v>
      </c>
    </row>
    <row r="15" spans="1:8" ht="18" customHeight="1" x14ac:dyDescent="0.3">
      <c r="A15" s="13" t="s">
        <v>413</v>
      </c>
      <c r="B15" s="13" t="s">
        <v>414</v>
      </c>
      <c r="C15" s="13"/>
      <c r="D15" s="13"/>
      <c r="E15" s="13"/>
      <c r="F15" s="13"/>
      <c r="G15" s="13"/>
      <c r="H15" s="13"/>
    </row>
    <row r="16" spans="1:8" ht="30" customHeight="1" x14ac:dyDescent="0.3">
      <c r="A16" s="14" t="s">
        <v>413</v>
      </c>
      <c r="B16" s="14" t="s">
        <v>414</v>
      </c>
      <c r="C16" s="15" t="s">
        <v>415</v>
      </c>
      <c r="D16" s="16" t="s">
        <v>416</v>
      </c>
      <c r="E16" s="17">
        <v>2</v>
      </c>
      <c r="F16" s="18" t="s">
        <v>45</v>
      </c>
      <c r="G16" s="16" t="s">
        <v>417</v>
      </c>
      <c r="H16" s="16" t="s">
        <v>60</v>
      </c>
    </row>
    <row r="17" spans="1:8" ht="30" customHeight="1" x14ac:dyDescent="0.3">
      <c r="A17" s="19" t="s">
        <v>413</v>
      </c>
      <c r="B17" s="19" t="s">
        <v>414</v>
      </c>
      <c r="C17" s="20" t="s">
        <v>418</v>
      </c>
      <c r="D17" s="21" t="s">
        <v>419</v>
      </c>
      <c r="E17" s="17">
        <v>2</v>
      </c>
      <c r="F17" s="18" t="s">
        <v>45</v>
      </c>
      <c r="G17" s="21" t="s">
        <v>420</v>
      </c>
      <c r="H17" s="21" t="s">
        <v>60</v>
      </c>
    </row>
    <row r="18" spans="1:8" ht="30" customHeight="1" x14ac:dyDescent="0.3">
      <c r="A18" s="14" t="s">
        <v>413</v>
      </c>
      <c r="B18" s="14" t="s">
        <v>414</v>
      </c>
      <c r="C18" s="15" t="s">
        <v>421</v>
      </c>
      <c r="D18" s="16" t="s">
        <v>422</v>
      </c>
      <c r="E18" s="17">
        <v>2</v>
      </c>
      <c r="F18" s="18" t="s">
        <v>23</v>
      </c>
      <c r="G18" s="16" t="s">
        <v>423</v>
      </c>
      <c r="H18" s="16" t="s">
        <v>23</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424</v>
      </c>
      <c r="B2" s="13" t="s">
        <v>425</v>
      </c>
      <c r="C2" s="13"/>
      <c r="D2" s="13"/>
      <c r="E2" s="13"/>
      <c r="F2" s="13"/>
      <c r="G2" s="13"/>
      <c r="H2" s="13"/>
    </row>
    <row r="3" spans="1:8" ht="30" customHeight="1" x14ac:dyDescent="0.3">
      <c r="A3" s="14" t="s">
        <v>424</v>
      </c>
      <c r="B3" s="14" t="s">
        <v>425</v>
      </c>
      <c r="C3" s="15" t="s">
        <v>426</v>
      </c>
      <c r="D3" s="16" t="s">
        <v>427</v>
      </c>
      <c r="E3" s="22">
        <v>1</v>
      </c>
      <c r="F3" s="18" t="s">
        <v>45</v>
      </c>
      <c r="G3" s="16" t="s">
        <v>428</v>
      </c>
      <c r="H3" s="16" t="s">
        <v>429</v>
      </c>
    </row>
    <row r="4" spans="1:8" ht="30" customHeight="1" x14ac:dyDescent="0.3">
      <c r="A4" s="19" t="s">
        <v>424</v>
      </c>
      <c r="B4" s="19" t="s">
        <v>425</v>
      </c>
      <c r="C4" s="20" t="s">
        <v>430</v>
      </c>
      <c r="D4" s="21" t="s">
        <v>431</v>
      </c>
      <c r="E4" s="17">
        <v>2</v>
      </c>
      <c r="F4" s="18" t="s">
        <v>23</v>
      </c>
      <c r="G4" s="21" t="s">
        <v>432</v>
      </c>
      <c r="H4" s="21" t="s">
        <v>23</v>
      </c>
    </row>
    <row r="5" spans="1:8" ht="30" customHeight="1" x14ac:dyDescent="0.3">
      <c r="A5" s="14" t="s">
        <v>424</v>
      </c>
      <c r="B5" s="14" t="s">
        <v>425</v>
      </c>
      <c r="C5" s="15" t="s">
        <v>433</v>
      </c>
      <c r="D5" s="16" t="s">
        <v>434</v>
      </c>
      <c r="E5" s="17">
        <v>2</v>
      </c>
      <c r="F5" s="18" t="s">
        <v>45</v>
      </c>
      <c r="G5" s="16" t="s">
        <v>435</v>
      </c>
      <c r="H5" s="16" t="s">
        <v>436</v>
      </c>
    </row>
    <row r="6" spans="1:8" ht="18" customHeight="1" x14ac:dyDescent="0.3">
      <c r="A6" s="13" t="s">
        <v>437</v>
      </c>
      <c r="B6" s="13" t="s">
        <v>438</v>
      </c>
      <c r="C6" s="13"/>
      <c r="D6" s="13"/>
      <c r="E6" s="13"/>
      <c r="F6" s="13"/>
      <c r="G6" s="13"/>
      <c r="H6" s="13"/>
    </row>
    <row r="7" spans="1:8" ht="30" customHeight="1" x14ac:dyDescent="0.3">
      <c r="A7" s="14" t="s">
        <v>437</v>
      </c>
      <c r="B7" s="14" t="s">
        <v>438</v>
      </c>
      <c r="C7" s="15" t="s">
        <v>439</v>
      </c>
      <c r="D7" s="16" t="s">
        <v>440</v>
      </c>
      <c r="E7" s="22">
        <v>1</v>
      </c>
      <c r="F7" s="18" t="s">
        <v>23</v>
      </c>
      <c r="G7" s="16" t="s">
        <v>441</v>
      </c>
      <c r="H7" s="16" t="s">
        <v>23</v>
      </c>
    </row>
    <row r="8" spans="1:8" ht="30" customHeight="1" x14ac:dyDescent="0.3">
      <c r="A8" s="19" t="s">
        <v>437</v>
      </c>
      <c r="B8" s="19" t="s">
        <v>438</v>
      </c>
      <c r="C8" s="20" t="s">
        <v>442</v>
      </c>
      <c r="D8" s="21" t="s">
        <v>443</v>
      </c>
      <c r="E8" s="22">
        <v>1</v>
      </c>
      <c r="F8" s="18" t="s">
        <v>23</v>
      </c>
      <c r="G8" s="21" t="s">
        <v>444</v>
      </c>
      <c r="H8" s="21" t="s">
        <v>23</v>
      </c>
    </row>
    <row r="9" spans="1:8" ht="30" customHeight="1" x14ac:dyDescent="0.3">
      <c r="A9" s="14" t="s">
        <v>437</v>
      </c>
      <c r="B9" s="14" t="s">
        <v>438</v>
      </c>
      <c r="C9" s="15" t="s">
        <v>445</v>
      </c>
      <c r="D9" s="16" t="s">
        <v>446</v>
      </c>
      <c r="E9" s="22">
        <v>1</v>
      </c>
      <c r="F9" s="18" t="s">
        <v>23</v>
      </c>
      <c r="G9" s="16" t="s">
        <v>444</v>
      </c>
      <c r="H9" s="16" t="s">
        <v>23</v>
      </c>
    </row>
    <row r="10" spans="1:8" ht="30" customHeight="1" x14ac:dyDescent="0.3">
      <c r="A10" s="19" t="s">
        <v>437</v>
      </c>
      <c r="B10" s="19" t="s">
        <v>438</v>
      </c>
      <c r="C10" s="20" t="s">
        <v>447</v>
      </c>
      <c r="D10" s="21" t="s">
        <v>448</v>
      </c>
      <c r="E10" s="22">
        <v>1</v>
      </c>
      <c r="F10" s="18" t="s">
        <v>23</v>
      </c>
      <c r="G10" s="21" t="s">
        <v>444</v>
      </c>
      <c r="H10" s="21" t="s">
        <v>23</v>
      </c>
    </row>
    <row r="11" spans="1:8" ht="30" customHeight="1" x14ac:dyDescent="0.3">
      <c r="A11" s="14" t="s">
        <v>437</v>
      </c>
      <c r="B11" s="14" t="s">
        <v>438</v>
      </c>
      <c r="C11" s="15" t="s">
        <v>449</v>
      </c>
      <c r="D11" s="16" t="s">
        <v>450</v>
      </c>
      <c r="E11" s="22">
        <v>1</v>
      </c>
      <c r="F11" s="18" t="s">
        <v>23</v>
      </c>
      <c r="G11" s="16" t="s">
        <v>451</v>
      </c>
      <c r="H11" s="16" t="s">
        <v>23</v>
      </c>
    </row>
    <row r="12" spans="1:8" ht="30" customHeight="1" x14ac:dyDescent="0.3">
      <c r="A12" s="19" t="s">
        <v>437</v>
      </c>
      <c r="B12" s="19" t="s">
        <v>438</v>
      </c>
      <c r="C12" s="20" t="s">
        <v>452</v>
      </c>
      <c r="D12" s="21" t="s">
        <v>453</v>
      </c>
      <c r="E12" s="22">
        <v>1</v>
      </c>
      <c r="F12" s="18" t="s">
        <v>23</v>
      </c>
      <c r="G12" s="21" t="s">
        <v>454</v>
      </c>
      <c r="H12" s="21" t="s">
        <v>23</v>
      </c>
    </row>
    <row r="13" spans="1:8" ht="30" customHeight="1" x14ac:dyDescent="0.3">
      <c r="A13" s="14" t="s">
        <v>437</v>
      </c>
      <c r="B13" s="14" t="s">
        <v>438</v>
      </c>
      <c r="C13" s="15" t="s">
        <v>455</v>
      </c>
      <c r="D13" s="16" t="s">
        <v>456</v>
      </c>
      <c r="E13" s="22">
        <v>1</v>
      </c>
      <c r="F13" s="18" t="s">
        <v>23</v>
      </c>
      <c r="G13" s="16" t="s">
        <v>457</v>
      </c>
      <c r="H13" s="16" t="s">
        <v>23</v>
      </c>
    </row>
    <row r="14" spans="1:8" ht="30" customHeight="1" x14ac:dyDescent="0.3">
      <c r="A14" s="19" t="s">
        <v>437</v>
      </c>
      <c r="B14" s="19" t="s">
        <v>438</v>
      </c>
      <c r="C14" s="20" t="s">
        <v>458</v>
      </c>
      <c r="D14" s="21" t="s">
        <v>459</v>
      </c>
      <c r="E14" s="22">
        <v>1</v>
      </c>
      <c r="F14" s="18" t="s">
        <v>66</v>
      </c>
      <c r="G14" s="21" t="s">
        <v>460</v>
      </c>
      <c r="H14" s="21" t="s">
        <v>461</v>
      </c>
    </row>
    <row r="15" spans="1:8" ht="30" customHeight="1" x14ac:dyDescent="0.3">
      <c r="A15" s="14" t="s">
        <v>437</v>
      </c>
      <c r="B15" s="14" t="s">
        <v>438</v>
      </c>
      <c r="C15" s="15" t="s">
        <v>462</v>
      </c>
      <c r="D15" s="16" t="s">
        <v>463</v>
      </c>
      <c r="E15" s="17">
        <v>2</v>
      </c>
      <c r="F15" s="18" t="s">
        <v>23</v>
      </c>
      <c r="G15" s="16" t="s">
        <v>464</v>
      </c>
      <c r="H15" s="16" t="s">
        <v>23</v>
      </c>
    </row>
    <row r="16" spans="1:8" ht="30" customHeight="1" x14ac:dyDescent="0.3">
      <c r="A16" s="19" t="s">
        <v>437</v>
      </c>
      <c r="B16" s="19" t="s">
        <v>438</v>
      </c>
      <c r="C16" s="20" t="s">
        <v>465</v>
      </c>
      <c r="D16" s="21" t="s">
        <v>466</v>
      </c>
      <c r="E16" s="17">
        <v>2</v>
      </c>
      <c r="F16" s="18" t="s">
        <v>45</v>
      </c>
      <c r="G16" s="21" t="s">
        <v>467</v>
      </c>
      <c r="H16" s="21" t="s">
        <v>23</v>
      </c>
    </row>
    <row r="17" spans="1:8" ht="30" customHeight="1" x14ac:dyDescent="0.3">
      <c r="A17" s="14" t="s">
        <v>437</v>
      </c>
      <c r="B17" s="14" t="s">
        <v>438</v>
      </c>
      <c r="C17" s="15" t="s">
        <v>468</v>
      </c>
      <c r="D17" s="16" t="s">
        <v>469</v>
      </c>
      <c r="E17" s="17">
        <v>2</v>
      </c>
      <c r="F17" s="18" t="s">
        <v>23</v>
      </c>
      <c r="G17" s="16" t="s">
        <v>470</v>
      </c>
      <c r="H17" s="16" t="s">
        <v>23</v>
      </c>
    </row>
    <row r="18" spans="1:8" ht="30" customHeight="1" x14ac:dyDescent="0.3">
      <c r="A18" s="19" t="s">
        <v>437</v>
      </c>
      <c r="B18" s="19" t="s">
        <v>438</v>
      </c>
      <c r="C18" s="20" t="s">
        <v>471</v>
      </c>
      <c r="D18" s="21" t="s">
        <v>472</v>
      </c>
      <c r="E18" s="17">
        <v>2</v>
      </c>
      <c r="F18" s="18" t="s">
        <v>23</v>
      </c>
      <c r="G18" s="21" t="s">
        <v>473</v>
      </c>
      <c r="H18" s="21" t="s">
        <v>23</v>
      </c>
    </row>
    <row r="19" spans="1:8" ht="18" customHeight="1" x14ac:dyDescent="0.3">
      <c r="A19" s="13" t="s">
        <v>474</v>
      </c>
      <c r="B19" s="13" t="s">
        <v>475</v>
      </c>
      <c r="C19" s="13"/>
      <c r="D19" s="13"/>
      <c r="E19" s="13"/>
      <c r="F19" s="13"/>
      <c r="G19" s="13"/>
      <c r="H19" s="13"/>
    </row>
    <row r="20" spans="1:8" ht="30" customHeight="1" x14ac:dyDescent="0.3">
      <c r="A20" s="14" t="s">
        <v>474</v>
      </c>
      <c r="B20" s="14" t="s">
        <v>475</v>
      </c>
      <c r="C20" s="15" t="s">
        <v>476</v>
      </c>
      <c r="D20" s="16" t="s">
        <v>477</v>
      </c>
      <c r="E20" s="22">
        <v>1</v>
      </c>
      <c r="F20" s="18" t="s">
        <v>45</v>
      </c>
      <c r="G20" s="16" t="s">
        <v>478</v>
      </c>
      <c r="H20" s="16" t="s">
        <v>429</v>
      </c>
    </row>
    <row r="21" spans="1:8" ht="30" customHeight="1" x14ac:dyDescent="0.3">
      <c r="A21" s="19" t="s">
        <v>474</v>
      </c>
      <c r="B21" s="19" t="s">
        <v>475</v>
      </c>
      <c r="C21" s="20" t="s">
        <v>479</v>
      </c>
      <c r="D21" s="21" t="s">
        <v>480</v>
      </c>
      <c r="E21" s="22">
        <v>1</v>
      </c>
      <c r="F21" s="18" t="s">
        <v>45</v>
      </c>
      <c r="G21" s="21" t="s">
        <v>481</v>
      </c>
      <c r="H21" s="21" t="s">
        <v>23</v>
      </c>
    </row>
    <row r="22" spans="1:8" ht="30" customHeight="1" x14ac:dyDescent="0.3">
      <c r="A22" s="14" t="s">
        <v>474</v>
      </c>
      <c r="B22" s="14" t="s">
        <v>475</v>
      </c>
      <c r="C22" s="15" t="s">
        <v>482</v>
      </c>
      <c r="D22" s="16" t="s">
        <v>483</v>
      </c>
      <c r="E22" s="17">
        <v>2</v>
      </c>
      <c r="F22" s="18" t="s">
        <v>45</v>
      </c>
      <c r="G22" s="16" t="s">
        <v>484</v>
      </c>
      <c r="H22" s="16" t="s">
        <v>485</v>
      </c>
    </row>
    <row r="23" spans="1:8" ht="30" customHeight="1" x14ac:dyDescent="0.3">
      <c r="A23" s="19" t="s">
        <v>474</v>
      </c>
      <c r="B23" s="19" t="s">
        <v>475</v>
      </c>
      <c r="C23" s="20" t="s">
        <v>486</v>
      </c>
      <c r="D23" s="21" t="s">
        <v>487</v>
      </c>
      <c r="E23" s="17">
        <v>2</v>
      </c>
      <c r="F23" s="18" t="s">
        <v>45</v>
      </c>
      <c r="G23" s="21" t="s">
        <v>488</v>
      </c>
      <c r="H23" s="21" t="s">
        <v>436</v>
      </c>
    </row>
    <row r="24" spans="1:8" ht="30" customHeight="1" x14ac:dyDescent="0.3">
      <c r="A24" s="14" t="s">
        <v>474</v>
      </c>
      <c r="B24" s="14" t="s">
        <v>475</v>
      </c>
      <c r="C24" s="15" t="s">
        <v>489</v>
      </c>
      <c r="D24" s="16" t="s">
        <v>490</v>
      </c>
      <c r="E24" s="23">
        <v>3</v>
      </c>
      <c r="F24" s="18" t="s">
        <v>45</v>
      </c>
      <c r="G24" s="16" t="s">
        <v>491</v>
      </c>
      <c r="H24" s="16" t="s">
        <v>492</v>
      </c>
    </row>
    <row r="25" spans="1:8" ht="30" customHeight="1" x14ac:dyDescent="0.3">
      <c r="A25" s="19" t="s">
        <v>474</v>
      </c>
      <c r="B25" s="19" t="s">
        <v>475</v>
      </c>
      <c r="C25" s="20" t="s">
        <v>493</v>
      </c>
      <c r="D25" s="21" t="s">
        <v>494</v>
      </c>
      <c r="E25" s="23">
        <v>3</v>
      </c>
      <c r="F25" s="18" t="s">
        <v>45</v>
      </c>
      <c r="G25" s="21" t="s">
        <v>495</v>
      </c>
      <c r="H25" s="21" t="s">
        <v>485</v>
      </c>
    </row>
    <row r="26" spans="1:8" ht="30" customHeight="1" x14ac:dyDescent="0.3">
      <c r="A26" s="14" t="s">
        <v>474</v>
      </c>
      <c r="B26" s="14" t="s">
        <v>475</v>
      </c>
      <c r="C26" s="15" t="s">
        <v>496</v>
      </c>
      <c r="D26" s="16" t="s">
        <v>497</v>
      </c>
      <c r="E26" s="23">
        <v>3</v>
      </c>
      <c r="F26" s="18" t="s">
        <v>45</v>
      </c>
      <c r="G26" s="16" t="s">
        <v>498</v>
      </c>
      <c r="H26" s="16" t="s">
        <v>499</v>
      </c>
    </row>
    <row r="27" spans="1:8" ht="30" customHeight="1" x14ac:dyDescent="0.3">
      <c r="A27" s="19" t="s">
        <v>474</v>
      </c>
      <c r="B27" s="19" t="s">
        <v>475</v>
      </c>
      <c r="C27" s="20" t="s">
        <v>500</v>
      </c>
      <c r="D27" s="21" t="s">
        <v>501</v>
      </c>
      <c r="E27" s="23">
        <v>3</v>
      </c>
      <c r="F27" s="18" t="s">
        <v>45</v>
      </c>
      <c r="G27" s="21" t="s">
        <v>502</v>
      </c>
      <c r="H27" s="21" t="s">
        <v>503</v>
      </c>
    </row>
    <row r="28" spans="1:8" ht="18" customHeight="1" x14ac:dyDescent="0.3">
      <c r="A28" s="13" t="s">
        <v>504</v>
      </c>
      <c r="B28" s="13" t="s">
        <v>505</v>
      </c>
      <c r="C28" s="13"/>
      <c r="D28" s="13"/>
      <c r="E28" s="13"/>
      <c r="F28" s="13"/>
      <c r="G28" s="13"/>
      <c r="H28" s="13"/>
    </row>
    <row r="29" spans="1:8" ht="30" customHeight="1" x14ac:dyDescent="0.3">
      <c r="A29" s="14" t="s">
        <v>504</v>
      </c>
      <c r="B29" s="14" t="s">
        <v>505</v>
      </c>
      <c r="C29" s="15" t="s">
        <v>506</v>
      </c>
      <c r="D29" s="16" t="s">
        <v>507</v>
      </c>
      <c r="E29" s="22">
        <v>1</v>
      </c>
      <c r="F29" s="18" t="s">
        <v>23</v>
      </c>
      <c r="G29" s="16" t="s">
        <v>508</v>
      </c>
      <c r="H29" s="16" t="s">
        <v>23</v>
      </c>
    </row>
    <row r="30" spans="1:8" ht="30" customHeight="1" x14ac:dyDescent="0.3">
      <c r="A30" s="19" t="s">
        <v>504</v>
      </c>
      <c r="B30" s="19" t="s">
        <v>505</v>
      </c>
      <c r="C30" s="20" t="s">
        <v>509</v>
      </c>
      <c r="D30" s="21" t="s">
        <v>510</v>
      </c>
      <c r="E30" s="22">
        <v>1</v>
      </c>
      <c r="F30" s="18" t="s">
        <v>66</v>
      </c>
      <c r="G30" s="21" t="s">
        <v>511</v>
      </c>
      <c r="H30" s="21" t="s">
        <v>23</v>
      </c>
    </row>
    <row r="31" spans="1:8" ht="30" customHeight="1" x14ac:dyDescent="0.3">
      <c r="A31" s="14" t="s">
        <v>504</v>
      </c>
      <c r="B31" s="14" t="s">
        <v>505</v>
      </c>
      <c r="C31" s="15" t="s">
        <v>512</v>
      </c>
      <c r="D31" s="16" t="s">
        <v>513</v>
      </c>
      <c r="E31" s="17">
        <v>2</v>
      </c>
      <c r="F31" s="18" t="s">
        <v>23</v>
      </c>
      <c r="G31" s="16" t="s">
        <v>514</v>
      </c>
      <c r="H31" s="16" t="s">
        <v>23</v>
      </c>
    </row>
    <row r="32" spans="1:8" ht="30" customHeight="1" x14ac:dyDescent="0.3">
      <c r="A32" s="19" t="s">
        <v>504</v>
      </c>
      <c r="B32" s="19" t="s">
        <v>505</v>
      </c>
      <c r="C32" s="20" t="s">
        <v>515</v>
      </c>
      <c r="D32" s="21" t="s">
        <v>516</v>
      </c>
      <c r="E32" s="17">
        <v>2</v>
      </c>
      <c r="F32" s="18" t="s">
        <v>23</v>
      </c>
      <c r="G32" s="21" t="s">
        <v>517</v>
      </c>
      <c r="H32" s="21" t="s">
        <v>23</v>
      </c>
    </row>
    <row r="33" spans="1:8" ht="30" customHeight="1" x14ac:dyDescent="0.3">
      <c r="A33" s="14" t="s">
        <v>504</v>
      </c>
      <c r="B33" s="14" t="s">
        <v>505</v>
      </c>
      <c r="C33" s="15" t="s">
        <v>518</v>
      </c>
      <c r="D33" s="16" t="s">
        <v>519</v>
      </c>
      <c r="E33" s="23">
        <v>3</v>
      </c>
      <c r="F33" s="18" t="s">
        <v>45</v>
      </c>
      <c r="G33" s="16" t="s">
        <v>520</v>
      </c>
      <c r="H33" s="16" t="s">
        <v>225</v>
      </c>
    </row>
    <row r="34" spans="1:8" ht="30" customHeight="1" x14ac:dyDescent="0.3">
      <c r="A34" s="19" t="s">
        <v>504</v>
      </c>
      <c r="B34" s="19" t="s">
        <v>505</v>
      </c>
      <c r="C34" s="20" t="s">
        <v>521</v>
      </c>
      <c r="D34" s="21" t="s">
        <v>522</v>
      </c>
      <c r="E34" s="23">
        <v>3</v>
      </c>
      <c r="F34" s="18" t="s">
        <v>45</v>
      </c>
      <c r="G34" s="21" t="s">
        <v>523</v>
      </c>
      <c r="H34" s="21" t="s">
        <v>23</v>
      </c>
    </row>
    <row r="35" spans="1:8" ht="18" customHeight="1" x14ac:dyDescent="0.3">
      <c r="A35" s="13" t="s">
        <v>524</v>
      </c>
      <c r="B35" s="13" t="s">
        <v>525</v>
      </c>
      <c r="C35" s="13"/>
      <c r="D35" s="13"/>
      <c r="E35" s="13"/>
      <c r="F35" s="13"/>
      <c r="G35" s="13"/>
      <c r="H35" s="13"/>
    </row>
    <row r="36" spans="1:8" ht="30" customHeight="1" x14ac:dyDescent="0.3">
      <c r="A36" s="14" t="s">
        <v>524</v>
      </c>
      <c r="B36" s="14" t="s">
        <v>525</v>
      </c>
      <c r="C36" s="15" t="s">
        <v>526</v>
      </c>
      <c r="D36" s="16" t="s">
        <v>527</v>
      </c>
      <c r="E36" s="17">
        <v>2</v>
      </c>
      <c r="F36" s="18" t="s">
        <v>45</v>
      </c>
      <c r="G36" s="16" t="s">
        <v>528</v>
      </c>
      <c r="H36" s="16" t="s">
        <v>485</v>
      </c>
    </row>
    <row r="37" spans="1:8" ht="30" customHeight="1" x14ac:dyDescent="0.3">
      <c r="A37" s="19" t="s">
        <v>524</v>
      </c>
      <c r="B37" s="19" t="s">
        <v>525</v>
      </c>
      <c r="C37" s="20" t="s">
        <v>529</v>
      </c>
      <c r="D37" s="21" t="s">
        <v>530</v>
      </c>
      <c r="E37" s="17">
        <v>2</v>
      </c>
      <c r="F37" s="18" t="s">
        <v>45</v>
      </c>
      <c r="G37" s="21" t="s">
        <v>531</v>
      </c>
      <c r="H37" s="21" t="s">
        <v>485</v>
      </c>
    </row>
    <row r="38" spans="1:8" ht="30" customHeight="1" x14ac:dyDescent="0.3">
      <c r="A38" s="14" t="s">
        <v>524</v>
      </c>
      <c r="B38" s="14" t="s">
        <v>525</v>
      </c>
      <c r="C38" s="15" t="s">
        <v>532</v>
      </c>
      <c r="D38" s="16" t="s">
        <v>533</v>
      </c>
      <c r="E38" s="17">
        <v>2</v>
      </c>
      <c r="F38" s="18" t="s">
        <v>45</v>
      </c>
      <c r="G38" s="16" t="s">
        <v>534</v>
      </c>
      <c r="H38" s="16" t="s">
        <v>485</v>
      </c>
    </row>
    <row r="39" spans="1:8" ht="30" customHeight="1" x14ac:dyDescent="0.3">
      <c r="A39" s="19" t="s">
        <v>524</v>
      </c>
      <c r="B39" s="19" t="s">
        <v>525</v>
      </c>
      <c r="C39" s="20" t="s">
        <v>535</v>
      </c>
      <c r="D39" s="21" t="s">
        <v>536</v>
      </c>
      <c r="E39" s="17">
        <v>2</v>
      </c>
      <c r="F39" s="18" t="s">
        <v>45</v>
      </c>
      <c r="G39" s="21" t="s">
        <v>537</v>
      </c>
      <c r="H39" s="21" t="s">
        <v>485</v>
      </c>
    </row>
    <row r="40" spans="1:8" ht="30" customHeight="1" x14ac:dyDescent="0.3">
      <c r="A40" s="14" t="s">
        <v>524</v>
      </c>
      <c r="B40" s="14" t="s">
        <v>525</v>
      </c>
      <c r="C40" s="15" t="s">
        <v>538</v>
      </c>
      <c r="D40" s="16" t="s">
        <v>539</v>
      </c>
      <c r="E40" s="17">
        <v>2</v>
      </c>
      <c r="F40" s="18" t="s">
        <v>45</v>
      </c>
      <c r="G40" s="16" t="s">
        <v>540</v>
      </c>
      <c r="H40" s="16" t="s">
        <v>485</v>
      </c>
    </row>
    <row r="41" spans="1:8" ht="30" customHeight="1" x14ac:dyDescent="0.3">
      <c r="A41" s="19" t="s">
        <v>524</v>
      </c>
      <c r="B41" s="19" t="s">
        <v>525</v>
      </c>
      <c r="C41" s="20" t="s">
        <v>541</v>
      </c>
      <c r="D41" s="21" t="s">
        <v>542</v>
      </c>
      <c r="E41" s="23">
        <v>3</v>
      </c>
      <c r="F41" s="18" t="s">
        <v>45</v>
      </c>
      <c r="G41" s="21" t="s">
        <v>543</v>
      </c>
      <c r="H41" s="21" t="s">
        <v>544</v>
      </c>
    </row>
    <row r="42" spans="1:8" ht="30" customHeight="1" x14ac:dyDescent="0.3">
      <c r="A42" s="14" t="s">
        <v>524</v>
      </c>
      <c r="B42" s="14" t="s">
        <v>525</v>
      </c>
      <c r="C42" s="15" t="s">
        <v>545</v>
      </c>
      <c r="D42" s="16" t="s">
        <v>546</v>
      </c>
      <c r="E42" s="23">
        <v>3</v>
      </c>
      <c r="F42" s="18" t="s">
        <v>23</v>
      </c>
      <c r="G42" s="16" t="s">
        <v>547</v>
      </c>
      <c r="H42" s="16" t="s">
        <v>23</v>
      </c>
    </row>
    <row r="43" spans="1:8" ht="30" customHeight="1" x14ac:dyDescent="0.3">
      <c r="A43" s="19" t="s">
        <v>524</v>
      </c>
      <c r="B43" s="19" t="s">
        <v>525</v>
      </c>
      <c r="C43" s="20" t="s">
        <v>548</v>
      </c>
      <c r="D43" s="21" t="s">
        <v>549</v>
      </c>
      <c r="E43" s="23">
        <v>3</v>
      </c>
      <c r="F43" s="18" t="s">
        <v>45</v>
      </c>
      <c r="G43" s="21" t="s">
        <v>550</v>
      </c>
      <c r="H43" s="21" t="s">
        <v>485</v>
      </c>
    </row>
    <row r="44" spans="1:8" ht="18" customHeight="1" x14ac:dyDescent="0.3">
      <c r="A44" s="13" t="s">
        <v>551</v>
      </c>
      <c r="B44" s="13" t="s">
        <v>552</v>
      </c>
      <c r="C44" s="13"/>
      <c r="D44" s="13"/>
      <c r="E44" s="13"/>
      <c r="F44" s="13"/>
      <c r="G44" s="13"/>
      <c r="H44" s="13"/>
    </row>
    <row r="45" spans="1:8" ht="30" customHeight="1" x14ac:dyDescent="0.3">
      <c r="A45" s="14" t="s">
        <v>551</v>
      </c>
      <c r="B45" s="14" t="s">
        <v>552</v>
      </c>
      <c r="C45" s="15" t="s">
        <v>553</v>
      </c>
      <c r="D45" s="16" t="s">
        <v>554</v>
      </c>
      <c r="E45" s="17">
        <v>2</v>
      </c>
      <c r="F45" s="18" t="s">
        <v>45</v>
      </c>
      <c r="G45" s="16" t="s">
        <v>555</v>
      </c>
      <c r="H45" s="16" t="s">
        <v>485</v>
      </c>
    </row>
    <row r="46" spans="1:8" ht="30" customHeight="1" x14ac:dyDescent="0.3">
      <c r="A46" s="19" t="s">
        <v>551</v>
      </c>
      <c r="B46" s="19" t="s">
        <v>552</v>
      </c>
      <c r="C46" s="20" t="s">
        <v>556</v>
      </c>
      <c r="D46" s="21" t="s">
        <v>557</v>
      </c>
      <c r="E46" s="17">
        <v>2</v>
      </c>
      <c r="F46" s="18" t="s">
        <v>45</v>
      </c>
      <c r="G46" s="21" t="s">
        <v>558</v>
      </c>
      <c r="H46" s="21" t="s">
        <v>485</v>
      </c>
    </row>
    <row r="47" spans="1:8" ht="30" customHeight="1" x14ac:dyDescent="0.3">
      <c r="A47" s="14" t="s">
        <v>551</v>
      </c>
      <c r="B47" s="14" t="s">
        <v>552</v>
      </c>
      <c r="C47" s="15" t="s">
        <v>559</v>
      </c>
      <c r="D47" s="16" t="s">
        <v>560</v>
      </c>
      <c r="E47" s="17">
        <v>2</v>
      </c>
      <c r="F47" s="18" t="s">
        <v>45</v>
      </c>
      <c r="G47" s="16" t="s">
        <v>561</v>
      </c>
      <c r="H47" s="16" t="s">
        <v>562</v>
      </c>
    </row>
    <row r="48" spans="1:8" ht="30" customHeight="1" x14ac:dyDescent="0.3">
      <c r="A48" s="19" t="s">
        <v>551</v>
      </c>
      <c r="B48" s="19" t="s">
        <v>552</v>
      </c>
      <c r="C48" s="20" t="s">
        <v>563</v>
      </c>
      <c r="D48" s="21" t="s">
        <v>564</v>
      </c>
      <c r="E48" s="23">
        <v>3</v>
      </c>
      <c r="F48" s="18" t="s">
        <v>45</v>
      </c>
      <c r="G48" s="21" t="s">
        <v>565</v>
      </c>
      <c r="H48" s="21" t="s">
        <v>485</v>
      </c>
    </row>
    <row r="49" spans="1:8" ht="18" customHeight="1" x14ac:dyDescent="0.3">
      <c r="A49" s="13" t="s">
        <v>566</v>
      </c>
      <c r="B49" s="13" t="s">
        <v>567</v>
      </c>
      <c r="C49" s="13"/>
      <c r="D49" s="13"/>
      <c r="E49" s="13"/>
      <c r="F49" s="13"/>
      <c r="G49" s="13"/>
      <c r="H49" s="13"/>
    </row>
    <row r="50" spans="1:8" ht="30" customHeight="1" x14ac:dyDescent="0.3">
      <c r="A50" s="14" t="s">
        <v>566</v>
      </c>
      <c r="B50" s="14" t="s">
        <v>567</v>
      </c>
      <c r="C50" s="15" t="s">
        <v>568</v>
      </c>
      <c r="D50" s="16" t="s">
        <v>569</v>
      </c>
      <c r="E50" s="23">
        <v>3</v>
      </c>
      <c r="F50" s="18" t="s">
        <v>45</v>
      </c>
      <c r="G50" s="16" t="s">
        <v>570</v>
      </c>
      <c r="H50" s="16" t="s">
        <v>544</v>
      </c>
    </row>
    <row r="51" spans="1:8" ht="30" customHeight="1" x14ac:dyDescent="0.3">
      <c r="A51" s="19" t="s">
        <v>566</v>
      </c>
      <c r="B51" s="19" t="s">
        <v>567</v>
      </c>
      <c r="C51" s="20" t="s">
        <v>571</v>
      </c>
      <c r="D51" s="21" t="s">
        <v>572</v>
      </c>
      <c r="E51" s="23">
        <v>3</v>
      </c>
      <c r="F51" s="18" t="s">
        <v>45</v>
      </c>
      <c r="G51" s="21" t="s">
        <v>573</v>
      </c>
      <c r="H51" s="21" t="s">
        <v>485</v>
      </c>
    </row>
    <row r="52" spans="1:8" ht="18" customHeight="1" x14ac:dyDescent="0.3">
      <c r="A52" s="13" t="s">
        <v>574</v>
      </c>
      <c r="B52" s="13" t="s">
        <v>575</v>
      </c>
      <c r="C52" s="13"/>
      <c r="D52" s="13"/>
      <c r="E52" s="13"/>
      <c r="F52" s="13"/>
      <c r="G52" s="13"/>
      <c r="H52" s="13"/>
    </row>
    <row r="53" spans="1:8" ht="30" customHeight="1" x14ac:dyDescent="0.3">
      <c r="A53" s="14" t="s">
        <v>574</v>
      </c>
      <c r="B53" s="14" t="s">
        <v>575</v>
      </c>
      <c r="C53" s="15" t="s">
        <v>576</v>
      </c>
      <c r="D53" s="16" t="s">
        <v>577</v>
      </c>
      <c r="E53" s="17">
        <v>2</v>
      </c>
      <c r="F53" s="18" t="s">
        <v>23</v>
      </c>
      <c r="G53" s="16" t="s">
        <v>578</v>
      </c>
      <c r="H53" s="16" t="s">
        <v>23</v>
      </c>
    </row>
    <row r="54" spans="1:8" ht="30" customHeight="1" x14ac:dyDescent="0.3">
      <c r="A54" s="19" t="s">
        <v>574</v>
      </c>
      <c r="B54" s="19" t="s">
        <v>575</v>
      </c>
      <c r="C54" s="20" t="s">
        <v>579</v>
      </c>
      <c r="D54" s="21" t="s">
        <v>580</v>
      </c>
      <c r="E54" s="17">
        <v>2</v>
      </c>
      <c r="F54" s="18" t="s">
        <v>66</v>
      </c>
      <c r="G54" s="21" t="s">
        <v>581</v>
      </c>
      <c r="H54" s="21" t="s">
        <v>221</v>
      </c>
    </row>
    <row r="55" spans="1:8" ht="30" customHeight="1" x14ac:dyDescent="0.3">
      <c r="A55" s="14" t="s">
        <v>574</v>
      </c>
      <c r="B55" s="14" t="s">
        <v>575</v>
      </c>
      <c r="C55" s="15" t="s">
        <v>582</v>
      </c>
      <c r="D55" s="16" t="s">
        <v>583</v>
      </c>
      <c r="E55" s="17">
        <v>2</v>
      </c>
      <c r="F55" s="18" t="s">
        <v>23</v>
      </c>
      <c r="G55" s="16" t="s">
        <v>584</v>
      </c>
      <c r="H55" s="16" t="s">
        <v>23</v>
      </c>
    </row>
    <row r="56" spans="1:8" ht="30" customHeight="1" x14ac:dyDescent="0.3">
      <c r="A56" s="19" t="s">
        <v>574</v>
      </c>
      <c r="B56" s="19" t="s">
        <v>575</v>
      </c>
      <c r="C56" s="20" t="s">
        <v>585</v>
      </c>
      <c r="D56" s="21" t="s">
        <v>586</v>
      </c>
      <c r="E56" s="17">
        <v>2</v>
      </c>
      <c r="F56" s="18" t="s">
        <v>45</v>
      </c>
      <c r="G56" s="21" t="s">
        <v>587</v>
      </c>
      <c r="H56" s="21" t="s">
        <v>485</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588</v>
      </c>
      <c r="B2" s="13" t="s">
        <v>589</v>
      </c>
      <c r="C2" s="13"/>
      <c r="D2" s="13"/>
      <c r="E2" s="13"/>
      <c r="F2" s="13"/>
      <c r="G2" s="13"/>
      <c r="H2" s="13"/>
    </row>
    <row r="3" spans="1:8" ht="30" customHeight="1" x14ac:dyDescent="0.3">
      <c r="A3" s="14" t="s">
        <v>588</v>
      </c>
      <c r="B3" s="14" t="s">
        <v>589</v>
      </c>
      <c r="C3" s="15" t="s">
        <v>590</v>
      </c>
      <c r="D3" s="16" t="s">
        <v>591</v>
      </c>
      <c r="E3" s="17">
        <v>2</v>
      </c>
      <c r="F3" s="18" t="s">
        <v>45</v>
      </c>
      <c r="G3" s="16" t="s">
        <v>592</v>
      </c>
      <c r="H3" s="16" t="s">
        <v>593</v>
      </c>
    </row>
    <row r="4" spans="1:8" ht="30" customHeight="1" x14ac:dyDescent="0.3">
      <c r="A4" s="19" t="s">
        <v>588</v>
      </c>
      <c r="B4" s="19" t="s">
        <v>589</v>
      </c>
      <c r="C4" s="20" t="s">
        <v>594</v>
      </c>
      <c r="D4" s="21" t="s">
        <v>595</v>
      </c>
      <c r="E4" s="17">
        <v>2</v>
      </c>
      <c r="F4" s="18" t="s">
        <v>45</v>
      </c>
      <c r="G4" s="21" t="s">
        <v>596</v>
      </c>
      <c r="H4" s="21" t="s">
        <v>593</v>
      </c>
    </row>
    <row r="5" spans="1:8" ht="30" customHeight="1" x14ac:dyDescent="0.3">
      <c r="A5" s="14" t="s">
        <v>588</v>
      </c>
      <c r="B5" s="14" t="s">
        <v>589</v>
      </c>
      <c r="C5" s="15" t="s">
        <v>597</v>
      </c>
      <c r="D5" s="16" t="s">
        <v>598</v>
      </c>
      <c r="E5" s="17">
        <v>2</v>
      </c>
      <c r="F5" s="18" t="s">
        <v>23</v>
      </c>
      <c r="G5" s="16" t="s">
        <v>599</v>
      </c>
      <c r="H5" s="16" t="s">
        <v>23</v>
      </c>
    </row>
    <row r="6" spans="1:8" ht="18" customHeight="1" x14ac:dyDescent="0.3">
      <c r="A6" s="13" t="s">
        <v>600</v>
      </c>
      <c r="B6" s="13" t="s">
        <v>601</v>
      </c>
      <c r="C6" s="13"/>
      <c r="D6" s="13"/>
      <c r="E6" s="13"/>
      <c r="F6" s="13"/>
      <c r="G6" s="13"/>
      <c r="H6" s="13"/>
    </row>
    <row r="7" spans="1:8" ht="30" customHeight="1" x14ac:dyDescent="0.3">
      <c r="A7" s="14" t="s">
        <v>600</v>
      </c>
      <c r="B7" s="14" t="s">
        <v>601</v>
      </c>
      <c r="C7" s="15" t="s">
        <v>602</v>
      </c>
      <c r="D7" s="16" t="s">
        <v>603</v>
      </c>
      <c r="E7" s="22">
        <v>1</v>
      </c>
      <c r="F7" s="18" t="s">
        <v>66</v>
      </c>
      <c r="G7" s="16" t="s">
        <v>604</v>
      </c>
      <c r="H7" s="16" t="s">
        <v>221</v>
      </c>
    </row>
    <row r="8" spans="1:8" ht="30" customHeight="1" x14ac:dyDescent="0.3">
      <c r="A8" s="19" t="s">
        <v>600</v>
      </c>
      <c r="B8" s="19" t="s">
        <v>601</v>
      </c>
      <c r="C8" s="20" t="s">
        <v>605</v>
      </c>
      <c r="D8" s="21" t="s">
        <v>606</v>
      </c>
      <c r="E8" s="22">
        <v>1</v>
      </c>
      <c r="F8" s="18" t="s">
        <v>66</v>
      </c>
      <c r="G8" s="21" t="s">
        <v>607</v>
      </c>
      <c r="H8" s="21" t="s">
        <v>608</v>
      </c>
    </row>
    <row r="9" spans="1:8" ht="30" customHeight="1" x14ac:dyDescent="0.3">
      <c r="A9" s="14" t="s">
        <v>600</v>
      </c>
      <c r="B9" s="14" t="s">
        <v>601</v>
      </c>
      <c r="C9" s="15" t="s">
        <v>609</v>
      </c>
      <c r="D9" s="16" t="s">
        <v>610</v>
      </c>
      <c r="E9" s="22">
        <v>1</v>
      </c>
      <c r="F9" s="18" t="s">
        <v>23</v>
      </c>
      <c r="G9" s="16" t="s">
        <v>611</v>
      </c>
      <c r="H9" s="16" t="s">
        <v>23</v>
      </c>
    </row>
    <row r="10" spans="1:8" ht="30" customHeight="1" x14ac:dyDescent="0.3">
      <c r="A10" s="19" t="s">
        <v>600</v>
      </c>
      <c r="B10" s="19" t="s">
        <v>601</v>
      </c>
      <c r="C10" s="20" t="s">
        <v>612</v>
      </c>
      <c r="D10" s="21" t="s">
        <v>613</v>
      </c>
      <c r="E10" s="22">
        <v>1</v>
      </c>
      <c r="F10" s="18" t="s">
        <v>66</v>
      </c>
      <c r="G10" s="21" t="s">
        <v>614</v>
      </c>
      <c r="H10" s="21" t="s">
        <v>593</v>
      </c>
    </row>
    <row r="11" spans="1:8" ht="18" customHeight="1" x14ac:dyDescent="0.3">
      <c r="A11" s="13" t="s">
        <v>615</v>
      </c>
      <c r="B11" s="13" t="s">
        <v>616</v>
      </c>
      <c r="C11" s="13"/>
      <c r="D11" s="13"/>
      <c r="E11" s="13"/>
      <c r="F11" s="13"/>
      <c r="G11" s="13"/>
      <c r="H11" s="13"/>
    </row>
    <row r="12" spans="1:8" ht="30" customHeight="1" x14ac:dyDescent="0.3">
      <c r="A12" s="14" t="s">
        <v>615</v>
      </c>
      <c r="B12" s="14" t="s">
        <v>616</v>
      </c>
      <c r="C12" s="15" t="s">
        <v>617</v>
      </c>
      <c r="D12" s="16" t="s">
        <v>618</v>
      </c>
      <c r="E12" s="17">
        <v>2</v>
      </c>
      <c r="F12" s="18" t="s">
        <v>45</v>
      </c>
      <c r="G12" s="16" t="s">
        <v>619</v>
      </c>
      <c r="H12" s="16" t="s">
        <v>593</v>
      </c>
    </row>
    <row r="13" spans="1:8" ht="30" customHeight="1" x14ac:dyDescent="0.3">
      <c r="A13" s="19" t="s">
        <v>615</v>
      </c>
      <c r="B13" s="19" t="s">
        <v>616</v>
      </c>
      <c r="C13" s="20" t="s">
        <v>620</v>
      </c>
      <c r="D13" s="21" t="s">
        <v>621</v>
      </c>
      <c r="E13" s="17">
        <v>2</v>
      </c>
      <c r="F13" s="18" t="s">
        <v>45</v>
      </c>
      <c r="G13" s="21" t="s">
        <v>622</v>
      </c>
      <c r="H13" s="21" t="s">
        <v>593</v>
      </c>
    </row>
    <row r="14" spans="1:8" ht="18" customHeight="1" x14ac:dyDescent="0.3">
      <c r="A14" s="13" t="s">
        <v>623</v>
      </c>
      <c r="B14" s="13" t="s">
        <v>624</v>
      </c>
      <c r="C14" s="13"/>
      <c r="D14" s="13"/>
      <c r="E14" s="13"/>
      <c r="F14" s="13"/>
      <c r="G14" s="13"/>
      <c r="H14" s="13"/>
    </row>
    <row r="15" spans="1:8" ht="30" customHeight="1" x14ac:dyDescent="0.3">
      <c r="A15" s="14" t="s">
        <v>623</v>
      </c>
      <c r="B15" s="14" t="s">
        <v>624</v>
      </c>
      <c r="C15" s="15" t="s">
        <v>625</v>
      </c>
      <c r="D15" s="16" t="s">
        <v>626</v>
      </c>
      <c r="E15" s="22">
        <v>1</v>
      </c>
      <c r="F15" s="18" t="s">
        <v>45</v>
      </c>
      <c r="G15" s="16" t="s">
        <v>627</v>
      </c>
      <c r="H15" s="16" t="s">
        <v>593</v>
      </c>
    </row>
    <row r="16" spans="1:8" ht="30" customHeight="1" x14ac:dyDescent="0.3">
      <c r="A16" s="19" t="s">
        <v>623</v>
      </c>
      <c r="B16" s="19" t="s">
        <v>624</v>
      </c>
      <c r="C16" s="20" t="s">
        <v>628</v>
      </c>
      <c r="D16" s="21" t="s">
        <v>629</v>
      </c>
      <c r="E16" s="22">
        <v>1</v>
      </c>
      <c r="F16" s="18" t="s">
        <v>66</v>
      </c>
      <c r="G16" s="21" t="s">
        <v>630</v>
      </c>
      <c r="H16" s="21" t="s">
        <v>593</v>
      </c>
    </row>
    <row r="17" spans="1:8" ht="30" customHeight="1" x14ac:dyDescent="0.3">
      <c r="A17" s="14" t="s">
        <v>623</v>
      </c>
      <c r="B17" s="14" t="s">
        <v>624</v>
      </c>
      <c r="C17" s="15" t="s">
        <v>631</v>
      </c>
      <c r="D17" s="16" t="s">
        <v>632</v>
      </c>
      <c r="E17" s="17">
        <v>2</v>
      </c>
      <c r="F17" s="18" t="s">
        <v>45</v>
      </c>
      <c r="G17" s="16" t="s">
        <v>633</v>
      </c>
      <c r="H17" s="16" t="s">
        <v>499</v>
      </c>
    </row>
    <row r="18" spans="1:8" ht="30" customHeight="1" x14ac:dyDescent="0.3">
      <c r="A18" s="19" t="s">
        <v>623</v>
      </c>
      <c r="B18" s="19" t="s">
        <v>624</v>
      </c>
      <c r="C18" s="20" t="s">
        <v>634</v>
      </c>
      <c r="D18" s="21" t="s">
        <v>635</v>
      </c>
      <c r="E18" s="17">
        <v>2</v>
      </c>
      <c r="F18" s="18" t="s">
        <v>23</v>
      </c>
      <c r="G18" s="21" t="s">
        <v>636</v>
      </c>
      <c r="H18" s="21" t="s">
        <v>23</v>
      </c>
    </row>
    <row r="19" spans="1:8" ht="30" customHeight="1" x14ac:dyDescent="0.3">
      <c r="A19" s="14" t="s">
        <v>623</v>
      </c>
      <c r="B19" s="14" t="s">
        <v>624</v>
      </c>
      <c r="C19" s="15" t="s">
        <v>637</v>
      </c>
      <c r="D19" s="16" t="s">
        <v>638</v>
      </c>
      <c r="E19" s="17">
        <v>2</v>
      </c>
      <c r="F19" s="18" t="s">
        <v>45</v>
      </c>
      <c r="G19" s="16" t="s">
        <v>639</v>
      </c>
      <c r="H19" s="16" t="s">
        <v>499</v>
      </c>
    </row>
    <row r="20" spans="1:8" ht="18" customHeight="1" x14ac:dyDescent="0.3">
      <c r="A20" s="13" t="s">
        <v>640</v>
      </c>
      <c r="B20" s="13" t="s">
        <v>641</v>
      </c>
      <c r="C20" s="13"/>
      <c r="D20" s="13"/>
      <c r="E20" s="13"/>
      <c r="F20" s="13"/>
      <c r="G20" s="13"/>
      <c r="H20" s="13"/>
    </row>
    <row r="21" spans="1:8" ht="30" customHeight="1" x14ac:dyDescent="0.3">
      <c r="A21" s="14" t="s">
        <v>640</v>
      </c>
      <c r="B21" s="14" t="s">
        <v>641</v>
      </c>
      <c r="C21" s="15" t="s">
        <v>642</v>
      </c>
      <c r="D21" s="16" t="s">
        <v>643</v>
      </c>
      <c r="E21" s="17">
        <v>2</v>
      </c>
      <c r="F21" s="18" t="s">
        <v>45</v>
      </c>
      <c r="G21" s="16" t="s">
        <v>644</v>
      </c>
      <c r="H21" s="16" t="s">
        <v>593</v>
      </c>
    </row>
    <row r="22" spans="1:8" ht="30" customHeight="1" x14ac:dyDescent="0.3">
      <c r="A22" s="19" t="s">
        <v>640</v>
      </c>
      <c r="B22" s="19" t="s">
        <v>641</v>
      </c>
      <c r="C22" s="20" t="s">
        <v>645</v>
      </c>
      <c r="D22" s="21" t="s">
        <v>646</v>
      </c>
      <c r="E22" s="17">
        <v>2</v>
      </c>
      <c r="F22" s="18" t="s">
        <v>45</v>
      </c>
      <c r="G22" s="21" t="s">
        <v>647</v>
      </c>
      <c r="H22" s="21" t="s">
        <v>593</v>
      </c>
    </row>
    <row r="23" spans="1:8" ht="30" customHeight="1" x14ac:dyDescent="0.3">
      <c r="A23" s="14" t="s">
        <v>640</v>
      </c>
      <c r="B23" s="14" t="s">
        <v>641</v>
      </c>
      <c r="C23" s="15" t="s">
        <v>648</v>
      </c>
      <c r="D23" s="16" t="s">
        <v>649</v>
      </c>
      <c r="E23" s="23">
        <v>3</v>
      </c>
      <c r="F23" s="18" t="s">
        <v>45</v>
      </c>
      <c r="G23" s="16" t="s">
        <v>650</v>
      </c>
      <c r="H23" s="16" t="s">
        <v>593</v>
      </c>
    </row>
    <row r="24" spans="1:8" ht="18" customHeight="1" x14ac:dyDescent="0.3">
      <c r="A24" s="13" t="s">
        <v>651</v>
      </c>
      <c r="B24" s="13" t="s">
        <v>652</v>
      </c>
      <c r="C24" s="13"/>
      <c r="D24" s="13"/>
      <c r="E24" s="13"/>
      <c r="F24" s="13"/>
      <c r="G24" s="13"/>
      <c r="H24" s="13"/>
    </row>
    <row r="25" spans="1:8" ht="30" customHeight="1" x14ac:dyDescent="0.3">
      <c r="A25" s="14" t="s">
        <v>651</v>
      </c>
      <c r="B25" s="14" t="s">
        <v>652</v>
      </c>
      <c r="C25" s="15" t="s">
        <v>653</v>
      </c>
      <c r="D25" s="16" t="s">
        <v>654</v>
      </c>
      <c r="E25" s="17">
        <v>2</v>
      </c>
      <c r="F25" s="18" t="s">
        <v>23</v>
      </c>
      <c r="G25" s="16" t="s">
        <v>655</v>
      </c>
      <c r="H25" s="16" t="s">
        <v>23</v>
      </c>
    </row>
    <row r="26" spans="1:8" ht="30" customHeight="1" x14ac:dyDescent="0.3">
      <c r="A26" s="19" t="s">
        <v>651</v>
      </c>
      <c r="B26" s="19" t="s">
        <v>652</v>
      </c>
      <c r="C26" s="20" t="s">
        <v>656</v>
      </c>
      <c r="D26" s="21" t="s">
        <v>657</v>
      </c>
      <c r="E26" s="17">
        <v>2</v>
      </c>
      <c r="F26" s="18" t="s">
        <v>66</v>
      </c>
      <c r="G26" s="21" t="s">
        <v>658</v>
      </c>
      <c r="H26" s="21" t="s">
        <v>221</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659</v>
      </c>
      <c r="B2" s="13" t="s">
        <v>660</v>
      </c>
      <c r="C2" s="13"/>
      <c r="D2" s="13"/>
      <c r="E2" s="13"/>
      <c r="F2" s="13"/>
      <c r="G2" s="13"/>
      <c r="H2" s="13"/>
    </row>
    <row r="3" spans="1:8" ht="30" customHeight="1" x14ac:dyDescent="0.3">
      <c r="A3" s="14" t="s">
        <v>659</v>
      </c>
      <c r="B3" s="14" t="s">
        <v>660</v>
      </c>
      <c r="C3" s="15" t="s">
        <v>661</v>
      </c>
      <c r="D3" s="16" t="s">
        <v>662</v>
      </c>
      <c r="E3" s="22">
        <v>1</v>
      </c>
      <c r="F3" s="18" t="s">
        <v>45</v>
      </c>
      <c r="G3" s="16" t="s">
        <v>663</v>
      </c>
      <c r="H3" s="16" t="s">
        <v>664</v>
      </c>
    </row>
    <row r="4" spans="1:8" ht="30" customHeight="1" x14ac:dyDescent="0.3">
      <c r="A4" s="19" t="s">
        <v>659</v>
      </c>
      <c r="B4" s="19" t="s">
        <v>660</v>
      </c>
      <c r="C4" s="20" t="s">
        <v>665</v>
      </c>
      <c r="D4" s="21" t="s">
        <v>666</v>
      </c>
      <c r="E4" s="17">
        <v>2</v>
      </c>
      <c r="F4" s="18" t="s">
        <v>45</v>
      </c>
      <c r="G4" s="21" t="s">
        <v>667</v>
      </c>
      <c r="H4" s="21" t="s">
        <v>51</v>
      </c>
    </row>
    <row r="5" spans="1:8" ht="30" customHeight="1" x14ac:dyDescent="0.3">
      <c r="A5" s="14" t="s">
        <v>659</v>
      </c>
      <c r="B5" s="14" t="s">
        <v>660</v>
      </c>
      <c r="C5" s="15" t="s">
        <v>668</v>
      </c>
      <c r="D5" s="16" t="s">
        <v>669</v>
      </c>
      <c r="E5" s="23">
        <v>3</v>
      </c>
      <c r="F5" s="18" t="s">
        <v>45</v>
      </c>
      <c r="G5" s="16" t="s">
        <v>670</v>
      </c>
      <c r="H5" s="16" t="s">
        <v>671</v>
      </c>
    </row>
    <row r="6" spans="1:8" ht="30" customHeight="1" x14ac:dyDescent="0.3">
      <c r="A6" s="19" t="s">
        <v>659</v>
      </c>
      <c r="B6" s="19" t="s">
        <v>660</v>
      </c>
      <c r="C6" s="20" t="s">
        <v>672</v>
      </c>
      <c r="D6" s="21" t="s">
        <v>673</v>
      </c>
      <c r="E6" s="23">
        <v>3</v>
      </c>
      <c r="F6" s="18" t="s">
        <v>45</v>
      </c>
      <c r="G6" s="21" t="s">
        <v>674</v>
      </c>
      <c r="H6" s="21" t="s">
        <v>492</v>
      </c>
    </row>
    <row r="7" spans="1:8" ht="18" customHeight="1" x14ac:dyDescent="0.3">
      <c r="A7" s="13" t="s">
        <v>675</v>
      </c>
      <c r="B7" s="13" t="s">
        <v>676</v>
      </c>
      <c r="C7" s="13"/>
      <c r="D7" s="13"/>
      <c r="E7" s="13"/>
      <c r="F7" s="13"/>
      <c r="G7" s="13"/>
      <c r="H7" s="13"/>
    </row>
    <row r="8" spans="1:8" ht="30" customHeight="1" x14ac:dyDescent="0.3">
      <c r="A8" s="14" t="s">
        <v>675</v>
      </c>
      <c r="B8" s="14" t="s">
        <v>676</v>
      </c>
      <c r="C8" s="15" t="s">
        <v>677</v>
      </c>
      <c r="D8" s="16" t="s">
        <v>678</v>
      </c>
      <c r="E8" s="22">
        <v>1</v>
      </c>
      <c r="F8" s="18" t="s">
        <v>66</v>
      </c>
      <c r="G8" s="16" t="s">
        <v>679</v>
      </c>
      <c r="H8" s="16" t="s">
        <v>664</v>
      </c>
    </row>
    <row r="9" spans="1:8" ht="30" customHeight="1" x14ac:dyDescent="0.3">
      <c r="A9" s="19" t="s">
        <v>675</v>
      </c>
      <c r="B9" s="19" t="s">
        <v>676</v>
      </c>
      <c r="C9" s="20" t="s">
        <v>680</v>
      </c>
      <c r="D9" s="21" t="s">
        <v>681</v>
      </c>
      <c r="E9" s="22">
        <v>1</v>
      </c>
      <c r="F9" s="18" t="s">
        <v>45</v>
      </c>
      <c r="G9" s="21" t="s">
        <v>682</v>
      </c>
      <c r="H9" s="21" t="s">
        <v>277</v>
      </c>
    </row>
    <row r="10" spans="1:8" ht="30" customHeight="1" x14ac:dyDescent="0.3">
      <c r="A10" s="14" t="s">
        <v>675</v>
      </c>
      <c r="B10" s="14" t="s">
        <v>676</v>
      </c>
      <c r="C10" s="15" t="s">
        <v>683</v>
      </c>
      <c r="D10" s="16" t="s">
        <v>684</v>
      </c>
      <c r="E10" s="17">
        <v>2</v>
      </c>
      <c r="F10" s="18" t="s">
        <v>45</v>
      </c>
      <c r="G10" s="16" t="s">
        <v>685</v>
      </c>
      <c r="H10" s="16" t="s">
        <v>51</v>
      </c>
    </row>
    <row r="11" spans="1:8" ht="30" customHeight="1" x14ac:dyDescent="0.3">
      <c r="A11" s="19" t="s">
        <v>675</v>
      </c>
      <c r="B11" s="19" t="s">
        <v>676</v>
      </c>
      <c r="C11" s="20" t="s">
        <v>686</v>
      </c>
      <c r="D11" s="21" t="s">
        <v>687</v>
      </c>
      <c r="E11" s="23">
        <v>3</v>
      </c>
      <c r="F11" s="18" t="s">
        <v>45</v>
      </c>
      <c r="G11" s="21" t="s">
        <v>688</v>
      </c>
      <c r="H11" s="21" t="s">
        <v>492</v>
      </c>
    </row>
    <row r="12" spans="1:8" ht="18" customHeight="1" x14ac:dyDescent="0.3">
      <c r="A12" s="13" t="s">
        <v>689</v>
      </c>
      <c r="B12" s="13" t="s">
        <v>690</v>
      </c>
      <c r="C12" s="13"/>
      <c r="D12" s="13"/>
      <c r="E12" s="13"/>
      <c r="F12" s="13"/>
      <c r="G12" s="13"/>
      <c r="H12" s="13"/>
    </row>
    <row r="13" spans="1:8" ht="30" customHeight="1" x14ac:dyDescent="0.3">
      <c r="A13" s="14" t="s">
        <v>689</v>
      </c>
      <c r="B13" s="14" t="s">
        <v>690</v>
      </c>
      <c r="C13" s="15" t="s">
        <v>691</v>
      </c>
      <c r="D13" s="16" t="s">
        <v>692</v>
      </c>
      <c r="E13" s="22">
        <v>1</v>
      </c>
      <c r="F13" s="18" t="s">
        <v>66</v>
      </c>
      <c r="G13" s="16" t="s">
        <v>693</v>
      </c>
      <c r="H13" s="16" t="s">
        <v>694</v>
      </c>
    </row>
    <row r="14" spans="1:8" ht="30" customHeight="1" x14ac:dyDescent="0.3">
      <c r="A14" s="19" t="s">
        <v>689</v>
      </c>
      <c r="B14" s="19" t="s">
        <v>690</v>
      </c>
      <c r="C14" s="20" t="s">
        <v>695</v>
      </c>
      <c r="D14" s="21" t="s">
        <v>696</v>
      </c>
      <c r="E14" s="23">
        <v>3</v>
      </c>
      <c r="F14" s="18" t="s">
        <v>45</v>
      </c>
      <c r="G14" s="21" t="s">
        <v>697</v>
      </c>
      <c r="H14" s="21" t="s">
        <v>698</v>
      </c>
    </row>
    <row r="15" spans="1:8" ht="30" customHeight="1" x14ac:dyDescent="0.3">
      <c r="A15" s="14" t="s">
        <v>689</v>
      </c>
      <c r="B15" s="14" t="s">
        <v>690</v>
      </c>
      <c r="C15" s="15" t="s">
        <v>699</v>
      </c>
      <c r="D15" s="16" t="s">
        <v>700</v>
      </c>
      <c r="E15" s="23">
        <v>3</v>
      </c>
      <c r="F15" s="18" t="s">
        <v>66</v>
      </c>
      <c r="G15" s="16" t="s">
        <v>701</v>
      </c>
      <c r="H15" s="16" t="s">
        <v>277</v>
      </c>
    </row>
    <row r="16" spans="1:8" ht="18" customHeight="1" x14ac:dyDescent="0.3">
      <c r="A16" s="13" t="s">
        <v>702</v>
      </c>
      <c r="B16" s="13" t="s">
        <v>703</v>
      </c>
      <c r="C16" s="13"/>
      <c r="D16" s="13"/>
      <c r="E16" s="13"/>
      <c r="F16" s="13"/>
      <c r="G16" s="13"/>
      <c r="H16" s="13"/>
    </row>
    <row r="17" spans="1:8" ht="30" customHeight="1" x14ac:dyDescent="0.3">
      <c r="A17" s="14" t="s">
        <v>702</v>
      </c>
      <c r="B17" s="14" t="s">
        <v>703</v>
      </c>
      <c r="C17" s="15" t="s">
        <v>704</v>
      </c>
      <c r="D17" s="16" t="s">
        <v>705</v>
      </c>
      <c r="E17" s="17">
        <v>2</v>
      </c>
      <c r="F17" s="18" t="s">
        <v>23</v>
      </c>
      <c r="G17" s="16" t="s">
        <v>706</v>
      </c>
      <c r="H17" s="16" t="s">
        <v>23</v>
      </c>
    </row>
    <row r="18" spans="1:8" ht="30" customHeight="1" x14ac:dyDescent="0.3">
      <c r="A18" s="19" t="s">
        <v>702</v>
      </c>
      <c r="B18" s="19" t="s">
        <v>703</v>
      </c>
      <c r="C18" s="20" t="s">
        <v>707</v>
      </c>
      <c r="D18" s="21" t="s">
        <v>708</v>
      </c>
      <c r="E18" s="23">
        <v>3</v>
      </c>
      <c r="F18" s="18" t="s">
        <v>45</v>
      </c>
      <c r="G18" s="21" t="s">
        <v>709</v>
      </c>
      <c r="H18" s="21" t="s">
        <v>710</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711</v>
      </c>
      <c r="B2" s="13" t="s">
        <v>712</v>
      </c>
      <c r="C2" s="13"/>
      <c r="D2" s="13"/>
      <c r="E2" s="13"/>
      <c r="F2" s="13"/>
      <c r="G2" s="13"/>
      <c r="H2" s="13"/>
    </row>
    <row r="3" spans="1:8" ht="30" customHeight="1" x14ac:dyDescent="0.3">
      <c r="A3" s="14" t="s">
        <v>711</v>
      </c>
      <c r="B3" s="14" t="s">
        <v>712</v>
      </c>
      <c r="C3" s="15" t="s">
        <v>713</v>
      </c>
      <c r="D3" s="16" t="s">
        <v>714</v>
      </c>
      <c r="E3" s="22">
        <v>1</v>
      </c>
      <c r="F3" s="18" t="s">
        <v>66</v>
      </c>
      <c r="G3" s="16" t="s">
        <v>715</v>
      </c>
      <c r="H3" s="16" t="s">
        <v>221</v>
      </c>
    </row>
    <row r="4" spans="1:8" ht="30" customHeight="1" x14ac:dyDescent="0.3">
      <c r="A4" s="19" t="s">
        <v>711</v>
      </c>
      <c r="B4" s="19" t="s">
        <v>712</v>
      </c>
      <c r="C4" s="20" t="s">
        <v>716</v>
      </c>
      <c r="D4" s="21" t="s">
        <v>717</v>
      </c>
      <c r="E4" s="22">
        <v>1</v>
      </c>
      <c r="F4" s="18" t="s">
        <v>66</v>
      </c>
      <c r="G4" s="21" t="s">
        <v>718</v>
      </c>
      <c r="H4" s="21" t="s">
        <v>221</v>
      </c>
    </row>
    <row r="5" spans="1:8" ht="30" customHeight="1" x14ac:dyDescent="0.3">
      <c r="A5" s="14" t="s">
        <v>711</v>
      </c>
      <c r="B5" s="14" t="s">
        <v>712</v>
      </c>
      <c r="C5" s="15" t="s">
        <v>719</v>
      </c>
      <c r="D5" s="16" t="s">
        <v>720</v>
      </c>
      <c r="E5" s="22">
        <v>1</v>
      </c>
      <c r="F5" s="18" t="s">
        <v>66</v>
      </c>
      <c r="G5" s="16" t="s">
        <v>721</v>
      </c>
      <c r="H5" s="16" t="s">
        <v>225</v>
      </c>
    </row>
    <row r="6" spans="1:8" ht="18" customHeight="1" x14ac:dyDescent="0.3">
      <c r="A6" s="13" t="s">
        <v>722</v>
      </c>
      <c r="B6" s="13" t="s">
        <v>723</v>
      </c>
      <c r="C6" s="13"/>
      <c r="D6" s="13"/>
      <c r="E6" s="13"/>
      <c r="F6" s="13"/>
      <c r="G6" s="13"/>
      <c r="H6" s="13"/>
    </row>
    <row r="7" spans="1:8" ht="30" customHeight="1" x14ac:dyDescent="0.3">
      <c r="A7" s="14" t="s">
        <v>722</v>
      </c>
      <c r="B7" s="14" t="s">
        <v>723</v>
      </c>
      <c r="C7" s="15" t="s">
        <v>724</v>
      </c>
      <c r="D7" s="16" t="s">
        <v>725</v>
      </c>
      <c r="E7" s="22">
        <v>1</v>
      </c>
      <c r="F7" s="18" t="s">
        <v>66</v>
      </c>
      <c r="G7" s="16" t="s">
        <v>726</v>
      </c>
      <c r="H7" s="16" t="s">
        <v>221</v>
      </c>
    </row>
    <row r="8" spans="1:8" ht="30" customHeight="1" x14ac:dyDescent="0.3">
      <c r="A8" s="19" t="s">
        <v>722</v>
      </c>
      <c r="B8" s="19" t="s">
        <v>723</v>
      </c>
      <c r="C8" s="20" t="s">
        <v>727</v>
      </c>
      <c r="D8" s="21" t="s">
        <v>728</v>
      </c>
      <c r="E8" s="17">
        <v>2</v>
      </c>
      <c r="F8" s="18" t="s">
        <v>66</v>
      </c>
      <c r="G8" s="21" t="s">
        <v>729</v>
      </c>
      <c r="H8" s="21" t="s">
        <v>221</v>
      </c>
    </row>
    <row r="9" spans="1:8" ht="30" customHeight="1" x14ac:dyDescent="0.3">
      <c r="A9" s="14" t="s">
        <v>722</v>
      </c>
      <c r="B9" s="14" t="s">
        <v>723</v>
      </c>
      <c r="C9" s="15" t="s">
        <v>730</v>
      </c>
      <c r="D9" s="16" t="s">
        <v>731</v>
      </c>
      <c r="E9" s="17">
        <v>2</v>
      </c>
      <c r="F9" s="18" t="s">
        <v>45</v>
      </c>
      <c r="G9" s="16" t="s">
        <v>732</v>
      </c>
      <c r="H9" s="16" t="s">
        <v>221</v>
      </c>
    </row>
    <row r="10" spans="1:8" ht="30" customHeight="1" x14ac:dyDescent="0.3">
      <c r="A10" s="19" t="s">
        <v>722</v>
      </c>
      <c r="B10" s="19" t="s">
        <v>723</v>
      </c>
      <c r="C10" s="20" t="s">
        <v>733</v>
      </c>
      <c r="D10" s="21" t="s">
        <v>734</v>
      </c>
      <c r="E10" s="17">
        <v>2</v>
      </c>
      <c r="F10" s="18" t="s">
        <v>66</v>
      </c>
      <c r="G10" s="21" t="s">
        <v>735</v>
      </c>
      <c r="H10" s="21" t="s">
        <v>221</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736</v>
      </c>
      <c r="B2" s="13" t="s">
        <v>737</v>
      </c>
      <c r="C2" s="13"/>
      <c r="D2" s="13"/>
      <c r="E2" s="13"/>
      <c r="F2" s="13"/>
      <c r="G2" s="13"/>
      <c r="H2" s="13"/>
    </row>
    <row r="3" spans="1:8" ht="30" customHeight="1" x14ac:dyDescent="0.3">
      <c r="A3" s="14" t="s">
        <v>736</v>
      </c>
      <c r="B3" s="14" t="s">
        <v>737</v>
      </c>
      <c r="C3" s="15" t="s">
        <v>738</v>
      </c>
      <c r="D3" s="16" t="s">
        <v>739</v>
      </c>
      <c r="E3" s="17">
        <v>2</v>
      </c>
      <c r="F3" s="18" t="s">
        <v>45</v>
      </c>
      <c r="G3" s="16" t="s">
        <v>740</v>
      </c>
      <c r="H3" s="16" t="s">
        <v>221</v>
      </c>
    </row>
    <row r="4" spans="1:8" ht="30" customHeight="1" x14ac:dyDescent="0.3">
      <c r="A4" s="19" t="s">
        <v>736</v>
      </c>
      <c r="B4" s="19" t="s">
        <v>737</v>
      </c>
      <c r="C4" s="20" t="s">
        <v>741</v>
      </c>
      <c r="D4" s="21" t="s">
        <v>742</v>
      </c>
      <c r="E4" s="17">
        <v>2</v>
      </c>
      <c r="F4" s="18" t="s">
        <v>45</v>
      </c>
      <c r="G4" s="21" t="s">
        <v>743</v>
      </c>
      <c r="H4" s="21" t="s">
        <v>485</v>
      </c>
    </row>
    <row r="5" spans="1:8" ht="18" customHeight="1" x14ac:dyDescent="0.3">
      <c r="A5" s="13" t="s">
        <v>744</v>
      </c>
      <c r="B5" s="13" t="s">
        <v>745</v>
      </c>
      <c r="C5" s="13"/>
      <c r="D5" s="13"/>
      <c r="E5" s="13"/>
      <c r="F5" s="13"/>
      <c r="G5" s="13"/>
      <c r="H5" s="13"/>
    </row>
    <row r="6" spans="1:8" ht="30" customHeight="1" x14ac:dyDescent="0.3">
      <c r="A6" s="14" t="s">
        <v>744</v>
      </c>
      <c r="B6" s="14" t="s">
        <v>745</v>
      </c>
      <c r="C6" s="15" t="s">
        <v>746</v>
      </c>
      <c r="D6" s="16" t="s">
        <v>747</v>
      </c>
      <c r="E6" s="17">
        <v>2</v>
      </c>
      <c r="F6" s="18" t="s">
        <v>45</v>
      </c>
      <c r="G6" s="16" t="s">
        <v>748</v>
      </c>
      <c r="H6" s="16" t="s">
        <v>485</v>
      </c>
    </row>
    <row r="7" spans="1:8" ht="30" customHeight="1" x14ac:dyDescent="0.3">
      <c r="A7" s="19" t="s">
        <v>744</v>
      </c>
      <c r="B7" s="19" t="s">
        <v>745</v>
      </c>
      <c r="C7" s="20" t="s">
        <v>749</v>
      </c>
      <c r="D7" s="21" t="s">
        <v>750</v>
      </c>
      <c r="E7" s="17">
        <v>2</v>
      </c>
      <c r="F7" s="18" t="s">
        <v>23</v>
      </c>
      <c r="G7" s="21" t="s">
        <v>751</v>
      </c>
      <c r="H7" s="21" t="s">
        <v>23</v>
      </c>
    </row>
    <row r="8" spans="1:8" ht="30" customHeight="1" x14ac:dyDescent="0.3">
      <c r="A8" s="14" t="s">
        <v>744</v>
      </c>
      <c r="B8" s="14" t="s">
        <v>745</v>
      </c>
      <c r="C8" s="15" t="s">
        <v>752</v>
      </c>
      <c r="D8" s="16" t="s">
        <v>753</v>
      </c>
      <c r="E8" s="23">
        <v>3</v>
      </c>
      <c r="F8" s="18" t="s">
        <v>45</v>
      </c>
      <c r="G8" s="16" t="s">
        <v>754</v>
      </c>
      <c r="H8" s="16" t="s">
        <v>485</v>
      </c>
    </row>
    <row r="9" spans="1:8" ht="18" customHeight="1" x14ac:dyDescent="0.3">
      <c r="A9" s="13" t="s">
        <v>755</v>
      </c>
      <c r="B9" s="13" t="s">
        <v>756</v>
      </c>
      <c r="C9" s="13"/>
      <c r="D9" s="13"/>
      <c r="E9" s="13"/>
      <c r="F9" s="13"/>
      <c r="G9" s="13"/>
      <c r="H9" s="13"/>
    </row>
    <row r="10" spans="1:8" ht="30" customHeight="1" x14ac:dyDescent="0.3">
      <c r="A10" s="14" t="s">
        <v>755</v>
      </c>
      <c r="B10" s="14" t="s">
        <v>756</v>
      </c>
      <c r="C10" s="15" t="s">
        <v>757</v>
      </c>
      <c r="D10" s="16" t="s">
        <v>758</v>
      </c>
      <c r="E10" s="17">
        <v>2</v>
      </c>
      <c r="F10" s="18" t="s">
        <v>45</v>
      </c>
      <c r="G10" s="16" t="s">
        <v>759</v>
      </c>
      <c r="H10" s="16" t="s">
        <v>221</v>
      </c>
    </row>
    <row r="11" spans="1:8" ht="30" customHeight="1" x14ac:dyDescent="0.3">
      <c r="A11" s="19" t="s">
        <v>755</v>
      </c>
      <c r="B11" s="19" t="s">
        <v>756</v>
      </c>
      <c r="C11" s="20" t="s">
        <v>760</v>
      </c>
      <c r="D11" s="21" t="s">
        <v>761</v>
      </c>
      <c r="E11" s="17">
        <v>2</v>
      </c>
      <c r="F11" s="18" t="s">
        <v>66</v>
      </c>
      <c r="G11" s="21" t="s">
        <v>762</v>
      </c>
      <c r="H11" s="21" t="s">
        <v>283</v>
      </c>
    </row>
    <row r="12" spans="1:8" ht="30" customHeight="1" x14ac:dyDescent="0.3">
      <c r="A12" s="14" t="s">
        <v>755</v>
      </c>
      <c r="B12" s="14" t="s">
        <v>756</v>
      </c>
      <c r="C12" s="15" t="s">
        <v>763</v>
      </c>
      <c r="D12" s="16" t="s">
        <v>764</v>
      </c>
      <c r="E12" s="17">
        <v>2</v>
      </c>
      <c r="F12" s="18" t="s">
        <v>66</v>
      </c>
      <c r="G12" s="16" t="s">
        <v>765</v>
      </c>
      <c r="H12" s="16" t="s">
        <v>277</v>
      </c>
    </row>
    <row r="13" spans="1:8" ht="30" customHeight="1" x14ac:dyDescent="0.3">
      <c r="A13" s="19" t="s">
        <v>755</v>
      </c>
      <c r="B13" s="19" t="s">
        <v>756</v>
      </c>
      <c r="C13" s="20" t="s">
        <v>766</v>
      </c>
      <c r="D13" s="21" t="s">
        <v>767</v>
      </c>
      <c r="E13" s="17">
        <v>2</v>
      </c>
      <c r="F13" s="18" t="s">
        <v>45</v>
      </c>
      <c r="G13" s="21" t="s">
        <v>768</v>
      </c>
      <c r="H13" s="21" t="s">
        <v>485</v>
      </c>
    </row>
    <row r="14" spans="1:8" ht="30" customHeight="1" x14ac:dyDescent="0.3">
      <c r="A14" s="14" t="s">
        <v>755</v>
      </c>
      <c r="B14" s="14" t="s">
        <v>756</v>
      </c>
      <c r="C14" s="15" t="s">
        <v>769</v>
      </c>
      <c r="D14" s="16" t="s">
        <v>770</v>
      </c>
      <c r="E14" s="23">
        <v>3</v>
      </c>
      <c r="F14" s="18" t="s">
        <v>45</v>
      </c>
      <c r="G14" s="16" t="s">
        <v>771</v>
      </c>
      <c r="H14" s="16" t="s">
        <v>221</v>
      </c>
    </row>
    <row r="15" spans="1:8" ht="18" customHeight="1" x14ac:dyDescent="0.3">
      <c r="A15" s="13" t="s">
        <v>772</v>
      </c>
      <c r="B15" s="13" t="s">
        <v>773</v>
      </c>
      <c r="C15" s="13"/>
      <c r="D15" s="13"/>
      <c r="E15" s="13"/>
      <c r="F15" s="13"/>
      <c r="G15" s="13"/>
      <c r="H15" s="13"/>
    </row>
    <row r="16" spans="1:8" ht="30" customHeight="1" x14ac:dyDescent="0.3">
      <c r="A16" s="14" t="s">
        <v>772</v>
      </c>
      <c r="B16" s="14" t="s">
        <v>773</v>
      </c>
      <c r="C16" s="15" t="s">
        <v>774</v>
      </c>
      <c r="D16" s="16" t="s">
        <v>775</v>
      </c>
      <c r="E16" s="22">
        <v>1</v>
      </c>
      <c r="F16" s="18" t="s">
        <v>23</v>
      </c>
      <c r="G16" s="16" t="s">
        <v>776</v>
      </c>
      <c r="H16" s="16" t="s">
        <v>23</v>
      </c>
    </row>
    <row r="17" spans="1:8" ht="30" customHeight="1" x14ac:dyDescent="0.3">
      <c r="A17" s="19" t="s">
        <v>772</v>
      </c>
      <c r="B17" s="19" t="s">
        <v>773</v>
      </c>
      <c r="C17" s="20" t="s">
        <v>777</v>
      </c>
      <c r="D17" s="21" t="s">
        <v>778</v>
      </c>
      <c r="E17" s="22">
        <v>1</v>
      </c>
      <c r="F17" s="18" t="s">
        <v>23</v>
      </c>
      <c r="G17" s="21" t="s">
        <v>779</v>
      </c>
      <c r="H17" s="21" t="s">
        <v>23</v>
      </c>
    </row>
    <row r="18" spans="1:8" ht="30" customHeight="1" x14ac:dyDescent="0.3">
      <c r="A18" s="14" t="s">
        <v>772</v>
      </c>
      <c r="B18" s="14" t="s">
        <v>773</v>
      </c>
      <c r="C18" s="15" t="s">
        <v>780</v>
      </c>
      <c r="D18" s="16" t="s">
        <v>781</v>
      </c>
      <c r="E18" s="22">
        <v>1</v>
      </c>
      <c r="F18" s="18" t="s">
        <v>23</v>
      </c>
      <c r="G18" s="16" t="s">
        <v>782</v>
      </c>
      <c r="H18" s="16" t="s">
        <v>23</v>
      </c>
    </row>
    <row r="19" spans="1:8" ht="30" customHeight="1" x14ac:dyDescent="0.3">
      <c r="A19" s="19" t="s">
        <v>772</v>
      </c>
      <c r="B19" s="19" t="s">
        <v>773</v>
      </c>
      <c r="C19" s="20" t="s">
        <v>783</v>
      </c>
      <c r="D19" s="21" t="s">
        <v>784</v>
      </c>
      <c r="E19" s="22">
        <v>1</v>
      </c>
      <c r="F19" s="18" t="s">
        <v>66</v>
      </c>
      <c r="G19" s="21" t="s">
        <v>785</v>
      </c>
      <c r="H19" s="21" t="s">
        <v>221</v>
      </c>
    </row>
    <row r="20" spans="1:8" ht="30" customHeight="1" x14ac:dyDescent="0.3">
      <c r="A20" s="14" t="s">
        <v>772</v>
      </c>
      <c r="B20" s="14" t="s">
        <v>773</v>
      </c>
      <c r="C20" s="15" t="s">
        <v>786</v>
      </c>
      <c r="D20" s="16" t="s">
        <v>787</v>
      </c>
      <c r="E20" s="22">
        <v>1</v>
      </c>
      <c r="F20" s="18" t="s">
        <v>45</v>
      </c>
      <c r="G20" s="16" t="s">
        <v>788</v>
      </c>
      <c r="H20" s="16" t="s">
        <v>221</v>
      </c>
    </row>
    <row r="21" spans="1:8" ht="30" customHeight="1" x14ac:dyDescent="0.3">
      <c r="A21" s="19" t="s">
        <v>772</v>
      </c>
      <c r="B21" s="19" t="s">
        <v>773</v>
      </c>
      <c r="C21" s="20" t="s">
        <v>789</v>
      </c>
      <c r="D21" s="21" t="s">
        <v>790</v>
      </c>
      <c r="E21" s="17">
        <v>2</v>
      </c>
      <c r="F21" s="18" t="s">
        <v>23</v>
      </c>
      <c r="G21" s="21" t="s">
        <v>791</v>
      </c>
      <c r="H21" s="21" t="s">
        <v>23</v>
      </c>
    </row>
    <row r="22" spans="1:8" ht="30" customHeight="1" x14ac:dyDescent="0.3">
      <c r="A22" s="14" t="s">
        <v>772</v>
      </c>
      <c r="B22" s="14" t="s">
        <v>773</v>
      </c>
      <c r="C22" s="15" t="s">
        <v>792</v>
      </c>
      <c r="D22" s="16" t="s">
        <v>793</v>
      </c>
      <c r="E22" s="17">
        <v>2</v>
      </c>
      <c r="F22" s="18" t="s">
        <v>23</v>
      </c>
      <c r="G22" s="16" t="s">
        <v>794</v>
      </c>
      <c r="H22" s="16" t="s">
        <v>23</v>
      </c>
    </row>
    <row r="23" spans="1:8" ht="30" customHeight="1" x14ac:dyDescent="0.3">
      <c r="A23" s="19" t="s">
        <v>772</v>
      </c>
      <c r="B23" s="19" t="s">
        <v>773</v>
      </c>
      <c r="C23" s="20" t="s">
        <v>795</v>
      </c>
      <c r="D23" s="21" t="s">
        <v>796</v>
      </c>
      <c r="E23" s="17">
        <v>2</v>
      </c>
      <c r="F23" s="18" t="s">
        <v>45</v>
      </c>
      <c r="G23" s="21" t="s">
        <v>797</v>
      </c>
      <c r="H23" s="21" t="s">
        <v>221</v>
      </c>
    </row>
    <row r="24" spans="1:8" ht="30" customHeight="1" x14ac:dyDescent="0.3">
      <c r="A24" s="14" t="s">
        <v>772</v>
      </c>
      <c r="B24" s="14" t="s">
        <v>773</v>
      </c>
      <c r="C24" s="15" t="s">
        <v>798</v>
      </c>
      <c r="D24" s="16" t="s">
        <v>799</v>
      </c>
      <c r="E24" s="17">
        <v>2</v>
      </c>
      <c r="F24" s="18" t="s">
        <v>45</v>
      </c>
      <c r="G24" s="16" t="s">
        <v>800</v>
      </c>
      <c r="H24" s="16" t="s">
        <v>593</v>
      </c>
    </row>
    <row r="25" spans="1:8" ht="30" customHeight="1" x14ac:dyDescent="0.3">
      <c r="A25" s="19" t="s">
        <v>772</v>
      </c>
      <c r="B25" s="19" t="s">
        <v>773</v>
      </c>
      <c r="C25" s="20" t="s">
        <v>801</v>
      </c>
      <c r="D25" s="21" t="s">
        <v>802</v>
      </c>
      <c r="E25" s="17">
        <v>2</v>
      </c>
      <c r="F25" s="18" t="s">
        <v>23</v>
      </c>
      <c r="G25" s="21" t="s">
        <v>803</v>
      </c>
      <c r="H25" s="21" t="s">
        <v>804</v>
      </c>
    </row>
    <row r="26" spans="1:8" ht="30" customHeight="1" x14ac:dyDescent="0.3">
      <c r="A26" s="14" t="s">
        <v>772</v>
      </c>
      <c r="B26" s="14" t="s">
        <v>773</v>
      </c>
      <c r="C26" s="15" t="s">
        <v>805</v>
      </c>
      <c r="D26" s="16" t="s">
        <v>806</v>
      </c>
      <c r="E26" s="17">
        <v>2</v>
      </c>
      <c r="F26" s="18" t="s">
        <v>66</v>
      </c>
      <c r="G26" s="16" t="s">
        <v>807</v>
      </c>
      <c r="H26" s="16" t="s">
        <v>283</v>
      </c>
    </row>
    <row r="27" spans="1:8" ht="30" customHeight="1" x14ac:dyDescent="0.3">
      <c r="A27" s="19" t="s">
        <v>772</v>
      </c>
      <c r="B27" s="19" t="s">
        <v>773</v>
      </c>
      <c r="C27" s="20" t="s">
        <v>808</v>
      </c>
      <c r="D27" s="21" t="s">
        <v>809</v>
      </c>
      <c r="E27" s="23">
        <v>3</v>
      </c>
      <c r="F27" s="18" t="s">
        <v>23</v>
      </c>
      <c r="G27" s="21" t="s">
        <v>810</v>
      </c>
      <c r="H27" s="21" t="s">
        <v>23</v>
      </c>
    </row>
    <row r="28" spans="1:8" ht="30" customHeight="1" x14ac:dyDescent="0.3">
      <c r="A28" s="14" t="s">
        <v>772</v>
      </c>
      <c r="B28" s="14" t="s">
        <v>773</v>
      </c>
      <c r="C28" s="15" t="s">
        <v>811</v>
      </c>
      <c r="D28" s="16" t="s">
        <v>812</v>
      </c>
      <c r="E28" s="23">
        <v>3</v>
      </c>
      <c r="F28" s="18" t="s">
        <v>23</v>
      </c>
      <c r="G28" s="16" t="s">
        <v>813</v>
      </c>
      <c r="H28" s="16" t="s">
        <v>23</v>
      </c>
    </row>
    <row r="29" spans="1:8" ht="30" customHeight="1" x14ac:dyDescent="0.3">
      <c r="A29" s="19" t="s">
        <v>772</v>
      </c>
      <c r="B29" s="19" t="s">
        <v>773</v>
      </c>
      <c r="C29" s="20" t="s">
        <v>814</v>
      </c>
      <c r="D29" s="21" t="s">
        <v>815</v>
      </c>
      <c r="E29" s="23">
        <v>3</v>
      </c>
      <c r="F29" s="18" t="s">
        <v>45</v>
      </c>
      <c r="G29" s="21" t="s">
        <v>816</v>
      </c>
      <c r="H29" s="21" t="s">
        <v>221</v>
      </c>
    </row>
    <row r="30" spans="1:8" ht="30" customHeight="1" x14ac:dyDescent="0.3">
      <c r="A30" s="14" t="s">
        <v>772</v>
      </c>
      <c r="B30" s="14" t="s">
        <v>773</v>
      </c>
      <c r="C30" s="15" t="s">
        <v>817</v>
      </c>
      <c r="D30" s="16" t="s">
        <v>818</v>
      </c>
      <c r="E30" s="23">
        <v>3</v>
      </c>
      <c r="F30" s="18" t="s">
        <v>23</v>
      </c>
      <c r="G30" s="16" t="s">
        <v>819</v>
      </c>
      <c r="H30" s="16" t="s">
        <v>23</v>
      </c>
    </row>
    <row r="31" spans="1:8" ht="30" customHeight="1" x14ac:dyDescent="0.3">
      <c r="A31" s="19" t="s">
        <v>772</v>
      </c>
      <c r="B31" s="19" t="s">
        <v>773</v>
      </c>
      <c r="C31" s="20" t="s">
        <v>820</v>
      </c>
      <c r="D31" s="21" t="s">
        <v>821</v>
      </c>
      <c r="E31" s="23">
        <v>3</v>
      </c>
      <c r="F31" s="18" t="s">
        <v>66</v>
      </c>
      <c r="G31" s="21" t="s">
        <v>822</v>
      </c>
      <c r="H31" s="21" t="s">
        <v>804</v>
      </c>
    </row>
    <row r="32" spans="1:8" ht="18" customHeight="1" x14ac:dyDescent="0.3">
      <c r="A32" s="13" t="s">
        <v>823</v>
      </c>
      <c r="B32" s="13" t="s">
        <v>824</v>
      </c>
      <c r="C32" s="13"/>
      <c r="D32" s="13"/>
      <c r="E32" s="13"/>
      <c r="F32" s="13"/>
      <c r="G32" s="13"/>
      <c r="H32" s="13"/>
    </row>
    <row r="33" spans="1:8" ht="30" customHeight="1" x14ac:dyDescent="0.3">
      <c r="A33" s="14" t="s">
        <v>823</v>
      </c>
      <c r="B33" s="14" t="s">
        <v>824</v>
      </c>
      <c r="C33" s="15" t="s">
        <v>825</v>
      </c>
      <c r="D33" s="16" t="s">
        <v>826</v>
      </c>
      <c r="E33" s="17">
        <v>2</v>
      </c>
      <c r="F33" s="18" t="s">
        <v>45</v>
      </c>
      <c r="G33" s="16" t="s">
        <v>827</v>
      </c>
      <c r="H33" s="16" t="s">
        <v>485</v>
      </c>
    </row>
    <row r="34" spans="1:8" ht="30" customHeight="1" x14ac:dyDescent="0.3">
      <c r="A34" s="19" t="s">
        <v>823</v>
      </c>
      <c r="B34" s="19" t="s">
        <v>824</v>
      </c>
      <c r="C34" s="20" t="s">
        <v>828</v>
      </c>
      <c r="D34" s="21" t="s">
        <v>829</v>
      </c>
      <c r="E34" s="17">
        <v>2</v>
      </c>
      <c r="F34" s="18" t="s">
        <v>66</v>
      </c>
      <c r="G34" s="21" t="s">
        <v>830</v>
      </c>
      <c r="H34" s="21" t="s">
        <v>221</v>
      </c>
    </row>
    <row r="35" spans="1:8" ht="30" customHeight="1" x14ac:dyDescent="0.3">
      <c r="A35" s="14" t="s">
        <v>823</v>
      </c>
      <c r="B35" s="14" t="s">
        <v>824</v>
      </c>
      <c r="C35" s="15" t="s">
        <v>831</v>
      </c>
      <c r="D35" s="16" t="s">
        <v>832</v>
      </c>
      <c r="E35" s="17">
        <v>2</v>
      </c>
      <c r="F35" s="18" t="s">
        <v>66</v>
      </c>
      <c r="G35" s="16" t="s">
        <v>833</v>
      </c>
      <c r="H35" s="16" t="s">
        <v>221</v>
      </c>
    </row>
    <row r="36" spans="1:8" ht="30" customHeight="1" x14ac:dyDescent="0.3">
      <c r="A36" s="19" t="s">
        <v>823</v>
      </c>
      <c r="B36" s="19" t="s">
        <v>824</v>
      </c>
      <c r="C36" s="20" t="s">
        <v>834</v>
      </c>
      <c r="D36" s="21" t="s">
        <v>835</v>
      </c>
      <c r="E36" s="17">
        <v>2</v>
      </c>
      <c r="F36" s="18" t="s">
        <v>45</v>
      </c>
      <c r="G36" s="21" t="s">
        <v>836</v>
      </c>
      <c r="H36" s="21" t="s">
        <v>221</v>
      </c>
    </row>
    <row r="37" spans="1:8" ht="30" customHeight="1" x14ac:dyDescent="0.3">
      <c r="A37" s="14" t="s">
        <v>823</v>
      </c>
      <c r="B37" s="14" t="s">
        <v>824</v>
      </c>
      <c r="C37" s="15" t="s">
        <v>837</v>
      </c>
      <c r="D37" s="16" t="s">
        <v>838</v>
      </c>
      <c r="E37" s="17">
        <v>2</v>
      </c>
      <c r="F37" s="18" t="s">
        <v>45</v>
      </c>
      <c r="G37" s="16" t="s">
        <v>839</v>
      </c>
      <c r="H37" s="16" t="s">
        <v>593</v>
      </c>
    </row>
    <row r="38" spans="1:8" ht="18" customHeight="1" x14ac:dyDescent="0.3">
      <c r="A38" s="13" t="s">
        <v>840</v>
      </c>
      <c r="B38" s="13" t="s">
        <v>841</v>
      </c>
      <c r="C38" s="13"/>
      <c r="D38" s="13"/>
      <c r="E38" s="13"/>
      <c r="F38" s="13"/>
      <c r="G38" s="13"/>
      <c r="H38" s="13"/>
    </row>
    <row r="39" spans="1:8" ht="30" customHeight="1" x14ac:dyDescent="0.3">
      <c r="A39" s="14" t="s">
        <v>840</v>
      </c>
      <c r="B39" s="14" t="s">
        <v>841</v>
      </c>
      <c r="C39" s="15" t="s">
        <v>842</v>
      </c>
      <c r="D39" s="16" t="s">
        <v>843</v>
      </c>
      <c r="E39" s="17">
        <v>2</v>
      </c>
      <c r="F39" s="18" t="s">
        <v>66</v>
      </c>
      <c r="G39" s="16" t="s">
        <v>844</v>
      </c>
      <c r="H39" s="16" t="s">
        <v>221</v>
      </c>
    </row>
    <row r="40" spans="1:8" ht="30" customHeight="1" x14ac:dyDescent="0.3">
      <c r="A40" s="19" t="s">
        <v>840</v>
      </c>
      <c r="B40" s="19" t="s">
        <v>841</v>
      </c>
      <c r="C40" s="20" t="s">
        <v>845</v>
      </c>
      <c r="D40" s="21" t="s">
        <v>846</v>
      </c>
      <c r="E40" s="17">
        <v>2</v>
      </c>
      <c r="F40" s="18" t="s">
        <v>45</v>
      </c>
      <c r="G40" s="21" t="s">
        <v>847</v>
      </c>
      <c r="H40" s="21" t="s">
        <v>593</v>
      </c>
    </row>
    <row r="41" spans="1:8" ht="18" customHeight="1" x14ac:dyDescent="0.3">
      <c r="A41" s="13" t="s">
        <v>848</v>
      </c>
      <c r="B41" s="13" t="s">
        <v>849</v>
      </c>
      <c r="C41" s="13"/>
      <c r="D41" s="13"/>
      <c r="E41" s="13"/>
      <c r="F41" s="13"/>
      <c r="G41" s="13"/>
      <c r="H41" s="13"/>
    </row>
    <row r="42" spans="1:8" ht="30" customHeight="1" x14ac:dyDescent="0.3">
      <c r="A42" s="14" t="s">
        <v>848</v>
      </c>
      <c r="B42" s="14" t="s">
        <v>849</v>
      </c>
      <c r="C42" s="15" t="s">
        <v>850</v>
      </c>
      <c r="D42" s="16" t="s">
        <v>851</v>
      </c>
      <c r="E42" s="17">
        <v>2</v>
      </c>
      <c r="F42" s="18" t="s">
        <v>45</v>
      </c>
      <c r="G42" s="16" t="s">
        <v>852</v>
      </c>
      <c r="H42" s="16" t="s">
        <v>485</v>
      </c>
    </row>
    <row r="43" spans="1:8" ht="30" customHeight="1" x14ac:dyDescent="0.3">
      <c r="A43" s="19" t="s">
        <v>848</v>
      </c>
      <c r="B43" s="19" t="s">
        <v>849</v>
      </c>
      <c r="C43" s="20" t="s">
        <v>853</v>
      </c>
      <c r="D43" s="21" t="s">
        <v>854</v>
      </c>
      <c r="E43" s="17">
        <v>2</v>
      </c>
      <c r="F43" s="18" t="s">
        <v>45</v>
      </c>
      <c r="G43" s="21" t="s">
        <v>855</v>
      </c>
      <c r="H43" s="21" t="s">
        <v>485</v>
      </c>
    </row>
    <row r="44" spans="1:8" ht="30" customHeight="1" x14ac:dyDescent="0.3">
      <c r="A44" s="14" t="s">
        <v>848</v>
      </c>
      <c r="B44" s="14" t="s">
        <v>849</v>
      </c>
      <c r="C44" s="15" t="s">
        <v>856</v>
      </c>
      <c r="D44" s="16" t="s">
        <v>857</v>
      </c>
      <c r="E44" s="17">
        <v>2</v>
      </c>
      <c r="F44" s="18" t="s">
        <v>45</v>
      </c>
      <c r="G44" s="16" t="s">
        <v>858</v>
      </c>
      <c r="H44" s="16" t="s">
        <v>593</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859</v>
      </c>
      <c r="B2" s="13" t="s">
        <v>860</v>
      </c>
      <c r="C2" s="13"/>
      <c r="D2" s="13"/>
      <c r="E2" s="13"/>
      <c r="F2" s="13"/>
      <c r="G2" s="13"/>
      <c r="H2" s="13"/>
    </row>
    <row r="3" spans="1:8" ht="30" customHeight="1" x14ac:dyDescent="0.3">
      <c r="A3" s="14" t="s">
        <v>859</v>
      </c>
      <c r="B3" s="14" t="s">
        <v>860</v>
      </c>
      <c r="C3" s="15" t="s">
        <v>861</v>
      </c>
      <c r="D3" s="16" t="s">
        <v>862</v>
      </c>
      <c r="E3" s="17">
        <v>2</v>
      </c>
      <c r="F3" s="18" t="s">
        <v>45</v>
      </c>
      <c r="G3" s="16" t="s">
        <v>863</v>
      </c>
      <c r="H3" s="16" t="s">
        <v>864</v>
      </c>
    </row>
    <row r="4" spans="1:8" ht="30" customHeight="1" x14ac:dyDescent="0.3">
      <c r="A4" s="19" t="s">
        <v>859</v>
      </c>
      <c r="B4" s="19" t="s">
        <v>860</v>
      </c>
      <c r="C4" s="20" t="s">
        <v>865</v>
      </c>
      <c r="D4" s="21" t="s">
        <v>866</v>
      </c>
      <c r="E4" s="17">
        <v>2</v>
      </c>
      <c r="F4" s="18" t="s">
        <v>45</v>
      </c>
      <c r="G4" s="21" t="s">
        <v>867</v>
      </c>
      <c r="H4" s="21" t="s">
        <v>868</v>
      </c>
    </row>
    <row r="5" spans="1:8" ht="30" customHeight="1" x14ac:dyDescent="0.3">
      <c r="A5" s="14" t="s">
        <v>859</v>
      </c>
      <c r="B5" s="14" t="s">
        <v>860</v>
      </c>
      <c r="C5" s="15" t="s">
        <v>869</v>
      </c>
      <c r="D5" s="16" t="s">
        <v>870</v>
      </c>
      <c r="E5" s="23">
        <v>3</v>
      </c>
      <c r="F5" s="18" t="s">
        <v>45</v>
      </c>
      <c r="G5" s="16" t="s">
        <v>871</v>
      </c>
      <c r="H5" s="16" t="s">
        <v>868</v>
      </c>
    </row>
    <row r="6" spans="1:8" ht="30" customHeight="1" x14ac:dyDescent="0.3">
      <c r="A6" s="19" t="s">
        <v>859</v>
      </c>
      <c r="B6" s="19" t="s">
        <v>860</v>
      </c>
      <c r="C6" s="20" t="s">
        <v>872</v>
      </c>
      <c r="D6" s="21" t="s">
        <v>873</v>
      </c>
      <c r="E6" s="23">
        <v>3</v>
      </c>
      <c r="F6" s="18" t="s">
        <v>45</v>
      </c>
      <c r="G6" s="21" t="s">
        <v>874</v>
      </c>
      <c r="H6" s="21" t="s">
        <v>225</v>
      </c>
    </row>
    <row r="7" spans="1:8" ht="18" customHeight="1" x14ac:dyDescent="0.3">
      <c r="A7" s="13" t="s">
        <v>875</v>
      </c>
      <c r="B7" s="13" t="s">
        <v>876</v>
      </c>
      <c r="C7" s="13"/>
      <c r="D7" s="13"/>
      <c r="E7" s="13"/>
      <c r="F7" s="13"/>
      <c r="G7" s="13"/>
      <c r="H7" s="13"/>
    </row>
    <row r="8" spans="1:8" ht="30" customHeight="1" x14ac:dyDescent="0.3">
      <c r="A8" s="14" t="s">
        <v>875</v>
      </c>
      <c r="B8" s="14" t="s">
        <v>876</v>
      </c>
      <c r="C8" s="15" t="s">
        <v>877</v>
      </c>
      <c r="D8" s="16" t="s">
        <v>878</v>
      </c>
      <c r="E8" s="17">
        <v>2</v>
      </c>
      <c r="F8" s="18" t="s">
        <v>66</v>
      </c>
      <c r="G8" s="16" t="s">
        <v>879</v>
      </c>
      <c r="H8" s="16" t="s">
        <v>868</v>
      </c>
    </row>
    <row r="9" spans="1:8" ht="30" customHeight="1" x14ac:dyDescent="0.3">
      <c r="A9" s="19" t="s">
        <v>875</v>
      </c>
      <c r="B9" s="19" t="s">
        <v>876</v>
      </c>
      <c r="C9" s="20" t="s">
        <v>880</v>
      </c>
      <c r="D9" s="21" t="s">
        <v>881</v>
      </c>
      <c r="E9" s="17">
        <v>2</v>
      </c>
      <c r="F9" s="18" t="s">
        <v>45</v>
      </c>
      <c r="G9" s="21" t="s">
        <v>882</v>
      </c>
      <c r="H9" s="21" t="s">
        <v>225</v>
      </c>
    </row>
    <row r="10" spans="1:8" ht="30" customHeight="1" x14ac:dyDescent="0.3">
      <c r="A10" s="14" t="s">
        <v>875</v>
      </c>
      <c r="B10" s="14" t="s">
        <v>876</v>
      </c>
      <c r="C10" s="15" t="s">
        <v>883</v>
      </c>
      <c r="D10" s="16" t="s">
        <v>884</v>
      </c>
      <c r="E10" s="17">
        <v>2</v>
      </c>
      <c r="F10" s="18" t="s">
        <v>66</v>
      </c>
      <c r="G10" s="16" t="s">
        <v>885</v>
      </c>
      <c r="H10" s="16" t="s">
        <v>886</v>
      </c>
    </row>
    <row r="11" spans="1:8" ht="30" customHeight="1" x14ac:dyDescent="0.3">
      <c r="A11" s="19" t="s">
        <v>875</v>
      </c>
      <c r="B11" s="19" t="s">
        <v>876</v>
      </c>
      <c r="C11" s="20" t="s">
        <v>887</v>
      </c>
      <c r="D11" s="21" t="s">
        <v>888</v>
      </c>
      <c r="E11" s="23">
        <v>3</v>
      </c>
      <c r="F11" s="18" t="s">
        <v>45</v>
      </c>
      <c r="G11" s="21" t="s">
        <v>889</v>
      </c>
      <c r="H11" s="21" t="s">
        <v>225</v>
      </c>
    </row>
    <row r="12" spans="1:8" ht="30" customHeight="1" x14ac:dyDescent="0.3">
      <c r="A12" s="14" t="s">
        <v>875</v>
      </c>
      <c r="B12" s="14" t="s">
        <v>876</v>
      </c>
      <c r="C12" s="15" t="s">
        <v>890</v>
      </c>
      <c r="D12" s="16" t="s">
        <v>891</v>
      </c>
      <c r="E12" s="23">
        <v>3</v>
      </c>
      <c r="F12" s="18" t="s">
        <v>66</v>
      </c>
      <c r="G12" s="16" t="s">
        <v>892</v>
      </c>
      <c r="H12" s="16" t="s">
        <v>225</v>
      </c>
    </row>
    <row r="13" spans="1:8" ht="18" customHeight="1" x14ac:dyDescent="0.3">
      <c r="A13" s="13" t="s">
        <v>893</v>
      </c>
      <c r="B13" s="13" t="s">
        <v>894</v>
      </c>
      <c r="C13" s="13"/>
      <c r="D13" s="13"/>
      <c r="E13" s="13"/>
      <c r="F13" s="13"/>
      <c r="G13" s="13"/>
      <c r="H13" s="13"/>
    </row>
    <row r="14" spans="1:8" ht="30" customHeight="1" x14ac:dyDescent="0.3">
      <c r="A14" s="14" t="s">
        <v>893</v>
      </c>
      <c r="B14" s="14" t="s">
        <v>894</v>
      </c>
      <c r="C14" s="15" t="s">
        <v>895</v>
      </c>
      <c r="D14" s="16" t="s">
        <v>896</v>
      </c>
      <c r="E14" s="22">
        <v>1</v>
      </c>
      <c r="F14" s="18" t="s">
        <v>66</v>
      </c>
      <c r="G14" s="16" t="s">
        <v>897</v>
      </c>
      <c r="H14" s="16" t="s">
        <v>212</v>
      </c>
    </row>
    <row r="15" spans="1:8" ht="30" customHeight="1" x14ac:dyDescent="0.3">
      <c r="A15" s="19" t="s">
        <v>893</v>
      </c>
      <c r="B15" s="19" t="s">
        <v>894</v>
      </c>
      <c r="C15" s="20" t="s">
        <v>898</v>
      </c>
      <c r="D15" s="21" t="s">
        <v>899</v>
      </c>
      <c r="E15" s="22">
        <v>1</v>
      </c>
      <c r="F15" s="18" t="s">
        <v>66</v>
      </c>
      <c r="G15" s="21" t="s">
        <v>900</v>
      </c>
      <c r="H15" s="21" t="s">
        <v>901</v>
      </c>
    </row>
    <row r="16" spans="1:8" ht="30" customHeight="1" x14ac:dyDescent="0.3">
      <c r="A16" s="14" t="s">
        <v>893</v>
      </c>
      <c r="B16" s="14" t="s">
        <v>894</v>
      </c>
      <c r="C16" s="15" t="s">
        <v>902</v>
      </c>
      <c r="D16" s="16" t="s">
        <v>903</v>
      </c>
      <c r="E16" s="17">
        <v>2</v>
      </c>
      <c r="F16" s="18" t="s">
        <v>66</v>
      </c>
      <c r="G16" s="16" t="s">
        <v>904</v>
      </c>
      <c r="H16" s="16" t="s">
        <v>905</v>
      </c>
    </row>
    <row r="17" spans="1:8" ht="30" customHeight="1" x14ac:dyDescent="0.3">
      <c r="A17" s="19" t="s">
        <v>893</v>
      </c>
      <c r="B17" s="19" t="s">
        <v>894</v>
      </c>
      <c r="C17" s="20" t="s">
        <v>906</v>
      </c>
      <c r="D17" s="21" t="s">
        <v>907</v>
      </c>
      <c r="E17" s="23">
        <v>3</v>
      </c>
      <c r="F17" s="18" t="s">
        <v>45</v>
      </c>
      <c r="G17" s="21" t="s">
        <v>908</v>
      </c>
      <c r="H17" s="21" t="s">
        <v>212</v>
      </c>
    </row>
    <row r="18" spans="1:8" ht="30" customHeight="1" x14ac:dyDescent="0.3">
      <c r="A18" s="14" t="s">
        <v>893</v>
      </c>
      <c r="B18" s="14" t="s">
        <v>894</v>
      </c>
      <c r="C18" s="15" t="s">
        <v>909</v>
      </c>
      <c r="D18" s="16" t="s">
        <v>910</v>
      </c>
      <c r="E18" s="23">
        <v>3</v>
      </c>
      <c r="F18" s="18" t="s">
        <v>66</v>
      </c>
      <c r="G18" s="16" t="s">
        <v>911</v>
      </c>
      <c r="H18" s="16" t="s">
        <v>912</v>
      </c>
    </row>
    <row r="19" spans="1:8" ht="18" customHeight="1" x14ac:dyDescent="0.3">
      <c r="A19" s="13" t="s">
        <v>913</v>
      </c>
      <c r="B19" s="13" t="s">
        <v>914</v>
      </c>
      <c r="C19" s="13"/>
      <c r="D19" s="13"/>
      <c r="E19" s="13"/>
      <c r="F19" s="13"/>
      <c r="G19" s="13"/>
      <c r="H19" s="13"/>
    </row>
    <row r="20" spans="1:8" ht="30" customHeight="1" x14ac:dyDescent="0.3">
      <c r="A20" s="14" t="s">
        <v>913</v>
      </c>
      <c r="B20" s="14" t="s">
        <v>914</v>
      </c>
      <c r="C20" s="15" t="s">
        <v>915</v>
      </c>
      <c r="D20" s="16" t="s">
        <v>916</v>
      </c>
      <c r="E20" s="22">
        <v>1</v>
      </c>
      <c r="F20" s="18" t="s">
        <v>66</v>
      </c>
      <c r="G20" s="16" t="s">
        <v>917</v>
      </c>
      <c r="H20" s="16" t="s">
        <v>912</v>
      </c>
    </row>
    <row r="21" spans="1:8" ht="30" customHeight="1" x14ac:dyDescent="0.3">
      <c r="A21" s="19" t="s">
        <v>913</v>
      </c>
      <c r="B21" s="19" t="s">
        <v>914</v>
      </c>
      <c r="C21" s="20" t="s">
        <v>918</v>
      </c>
      <c r="D21" s="21" t="s">
        <v>919</v>
      </c>
      <c r="E21" s="17">
        <v>2</v>
      </c>
      <c r="F21" s="18" t="s">
        <v>66</v>
      </c>
      <c r="G21" s="21" t="s">
        <v>920</v>
      </c>
      <c r="H21" s="21" t="s">
        <v>461</v>
      </c>
    </row>
    <row r="22" spans="1:8" ht="30" customHeight="1" x14ac:dyDescent="0.3">
      <c r="A22" s="14" t="s">
        <v>913</v>
      </c>
      <c r="B22" s="14" t="s">
        <v>914</v>
      </c>
      <c r="C22" s="15" t="s">
        <v>921</v>
      </c>
      <c r="D22" s="16" t="s">
        <v>922</v>
      </c>
      <c r="E22" s="17">
        <v>2</v>
      </c>
      <c r="F22" s="18" t="s">
        <v>66</v>
      </c>
      <c r="G22" s="16" t="s">
        <v>923</v>
      </c>
      <c r="H22" s="16" t="s">
        <v>912</v>
      </c>
    </row>
    <row r="23" spans="1:8" ht="30" customHeight="1" x14ac:dyDescent="0.3">
      <c r="A23" s="19" t="s">
        <v>913</v>
      </c>
      <c r="B23" s="19" t="s">
        <v>914</v>
      </c>
      <c r="C23" s="20" t="s">
        <v>924</v>
      </c>
      <c r="D23" s="21" t="s">
        <v>925</v>
      </c>
      <c r="E23" s="17">
        <v>2</v>
      </c>
      <c r="F23" s="18" t="s">
        <v>45</v>
      </c>
      <c r="G23" s="21" t="s">
        <v>926</v>
      </c>
      <c r="H23" s="21" t="s">
        <v>225</v>
      </c>
    </row>
    <row r="24" spans="1:8" ht="18" customHeight="1" x14ac:dyDescent="0.3">
      <c r="A24" s="13" t="s">
        <v>927</v>
      </c>
      <c r="B24" s="13" t="s">
        <v>928</v>
      </c>
      <c r="C24" s="13"/>
      <c r="D24" s="13"/>
      <c r="E24" s="13"/>
      <c r="F24" s="13"/>
      <c r="G24" s="13"/>
      <c r="H24" s="13"/>
    </row>
    <row r="25" spans="1:8" ht="30" customHeight="1" x14ac:dyDescent="0.3">
      <c r="A25" s="14" t="s">
        <v>927</v>
      </c>
      <c r="B25" s="14" t="s">
        <v>928</v>
      </c>
      <c r="C25" s="15" t="s">
        <v>929</v>
      </c>
      <c r="D25" s="16" t="s">
        <v>930</v>
      </c>
      <c r="E25" s="17">
        <v>2</v>
      </c>
      <c r="F25" s="18" t="s">
        <v>45</v>
      </c>
      <c r="G25" s="16" t="s">
        <v>931</v>
      </c>
      <c r="H25" s="16" t="s">
        <v>932</v>
      </c>
    </row>
    <row r="26" spans="1:8" ht="30" customHeight="1" x14ac:dyDescent="0.3">
      <c r="A26" s="19" t="s">
        <v>927</v>
      </c>
      <c r="B26" s="19" t="s">
        <v>928</v>
      </c>
      <c r="C26" s="20" t="s">
        <v>933</v>
      </c>
      <c r="D26" s="21" t="s">
        <v>934</v>
      </c>
      <c r="E26" s="23">
        <v>3</v>
      </c>
      <c r="F26" s="18" t="s">
        <v>66</v>
      </c>
      <c r="G26" s="21" t="s">
        <v>935</v>
      </c>
      <c r="H26" s="21" t="s">
        <v>932</v>
      </c>
    </row>
    <row r="27" spans="1:8" ht="18" customHeight="1" x14ac:dyDescent="0.3">
      <c r="A27" s="13" t="s">
        <v>936</v>
      </c>
      <c r="B27" s="13" t="s">
        <v>937</v>
      </c>
      <c r="C27" s="13"/>
      <c r="D27" s="13"/>
      <c r="E27" s="13"/>
      <c r="F27" s="13"/>
      <c r="G27" s="13"/>
      <c r="H27" s="13"/>
    </row>
    <row r="28" spans="1:8" ht="30" customHeight="1" x14ac:dyDescent="0.3">
      <c r="A28" s="14" t="s">
        <v>936</v>
      </c>
      <c r="B28" s="14" t="s">
        <v>937</v>
      </c>
      <c r="C28" s="15" t="s">
        <v>938</v>
      </c>
      <c r="D28" s="16" t="s">
        <v>939</v>
      </c>
      <c r="E28" s="17">
        <v>2</v>
      </c>
      <c r="F28" s="18" t="s">
        <v>66</v>
      </c>
      <c r="G28" s="16" t="s">
        <v>940</v>
      </c>
      <c r="H28" s="16" t="s">
        <v>941</v>
      </c>
    </row>
    <row r="29" spans="1:8" ht="30" customHeight="1" x14ac:dyDescent="0.3">
      <c r="A29" s="19" t="s">
        <v>936</v>
      </c>
      <c r="B29" s="19" t="s">
        <v>937</v>
      </c>
      <c r="C29" s="20" t="s">
        <v>942</v>
      </c>
      <c r="D29" s="21" t="s">
        <v>943</v>
      </c>
      <c r="E29" s="23">
        <v>3</v>
      </c>
      <c r="F29" s="18" t="s">
        <v>66</v>
      </c>
      <c r="G29" s="21" t="s">
        <v>944</v>
      </c>
      <c r="H29" s="21" t="s">
        <v>250</v>
      </c>
    </row>
    <row r="30" spans="1:8" ht="18" customHeight="1" x14ac:dyDescent="0.3">
      <c r="A30" s="13" t="s">
        <v>945</v>
      </c>
      <c r="B30" s="13" t="s">
        <v>946</v>
      </c>
      <c r="C30" s="13"/>
      <c r="D30" s="13"/>
      <c r="E30" s="13"/>
      <c r="F30" s="13"/>
      <c r="G30" s="13"/>
      <c r="H30" s="13"/>
    </row>
    <row r="31" spans="1:8" ht="30" customHeight="1" x14ac:dyDescent="0.3">
      <c r="A31" s="14" t="s">
        <v>945</v>
      </c>
      <c r="B31" s="14" t="s">
        <v>946</v>
      </c>
      <c r="C31" s="15" t="s">
        <v>947</v>
      </c>
      <c r="D31" s="16" t="s">
        <v>948</v>
      </c>
      <c r="E31" s="23">
        <v>3</v>
      </c>
      <c r="F31" s="18" t="s">
        <v>23</v>
      </c>
      <c r="G31" s="16" t="s">
        <v>949</v>
      </c>
      <c r="H31" s="16" t="s">
        <v>23</v>
      </c>
    </row>
    <row r="32" spans="1:8" ht="30" customHeight="1" x14ac:dyDescent="0.3">
      <c r="A32" s="19" t="s">
        <v>945</v>
      </c>
      <c r="B32" s="19" t="s">
        <v>946</v>
      </c>
      <c r="C32" s="20" t="s">
        <v>950</v>
      </c>
      <c r="D32" s="21" t="s">
        <v>951</v>
      </c>
      <c r="E32" s="23">
        <v>3</v>
      </c>
      <c r="F32" s="18" t="s">
        <v>45</v>
      </c>
      <c r="G32" s="21" t="s">
        <v>952</v>
      </c>
      <c r="H32" s="21" t="s">
        <v>953</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954</v>
      </c>
      <c r="B2" s="13" t="s">
        <v>955</v>
      </c>
      <c r="C2" s="13"/>
      <c r="D2" s="13"/>
      <c r="E2" s="13"/>
      <c r="F2" s="13"/>
      <c r="G2" s="13"/>
      <c r="H2" s="13"/>
    </row>
    <row r="3" spans="1:8" ht="30" customHeight="1" x14ac:dyDescent="0.3">
      <c r="A3" s="14" t="s">
        <v>954</v>
      </c>
      <c r="B3" s="14" t="s">
        <v>955</v>
      </c>
      <c r="C3" s="15" t="s">
        <v>956</v>
      </c>
      <c r="D3" s="16" t="s">
        <v>957</v>
      </c>
      <c r="E3" s="22">
        <v>1</v>
      </c>
      <c r="F3" s="18" t="s">
        <v>45</v>
      </c>
      <c r="G3" s="16" t="s">
        <v>958</v>
      </c>
      <c r="H3" s="16" t="s">
        <v>959</v>
      </c>
    </row>
    <row r="4" spans="1:8" ht="30" customHeight="1" x14ac:dyDescent="0.3">
      <c r="A4" s="19" t="s">
        <v>954</v>
      </c>
      <c r="B4" s="19" t="s">
        <v>955</v>
      </c>
      <c r="C4" s="20" t="s">
        <v>960</v>
      </c>
      <c r="D4" s="21" t="s">
        <v>961</v>
      </c>
      <c r="E4" s="17">
        <v>2</v>
      </c>
      <c r="F4" s="18" t="s">
        <v>45</v>
      </c>
      <c r="G4" s="21" t="s">
        <v>962</v>
      </c>
      <c r="H4" s="21" t="s">
        <v>250</v>
      </c>
    </row>
    <row r="5" spans="1:8" ht="30" customHeight="1" x14ac:dyDescent="0.3">
      <c r="A5" s="14" t="s">
        <v>954</v>
      </c>
      <c r="B5" s="14" t="s">
        <v>955</v>
      </c>
      <c r="C5" s="15" t="s">
        <v>963</v>
      </c>
      <c r="D5" s="16" t="s">
        <v>964</v>
      </c>
      <c r="E5" s="17">
        <v>2</v>
      </c>
      <c r="F5" s="18" t="s">
        <v>45</v>
      </c>
      <c r="G5" s="16" t="s">
        <v>965</v>
      </c>
      <c r="H5" s="16" t="s">
        <v>966</v>
      </c>
    </row>
    <row r="6" spans="1:8" ht="30" customHeight="1" x14ac:dyDescent="0.3">
      <c r="A6" s="19" t="s">
        <v>954</v>
      </c>
      <c r="B6" s="19" t="s">
        <v>955</v>
      </c>
      <c r="C6" s="20" t="s">
        <v>967</v>
      </c>
      <c r="D6" s="21" t="s">
        <v>968</v>
      </c>
      <c r="E6" s="23">
        <v>3</v>
      </c>
      <c r="F6" s="18" t="s">
        <v>45</v>
      </c>
      <c r="G6" s="21" t="s">
        <v>969</v>
      </c>
      <c r="H6" s="21" t="s">
        <v>970</v>
      </c>
    </row>
    <row r="7" spans="1:8" ht="30" customHeight="1" x14ac:dyDescent="0.3">
      <c r="A7" s="14" t="s">
        <v>954</v>
      </c>
      <c r="B7" s="14" t="s">
        <v>955</v>
      </c>
      <c r="C7" s="15" t="s">
        <v>971</v>
      </c>
      <c r="D7" s="16" t="s">
        <v>972</v>
      </c>
      <c r="E7" s="23">
        <v>3</v>
      </c>
      <c r="F7" s="18" t="s">
        <v>23</v>
      </c>
      <c r="G7" s="16" t="s">
        <v>973</v>
      </c>
      <c r="H7" s="16" t="s">
        <v>23</v>
      </c>
    </row>
    <row r="8" spans="1:8" ht="18" customHeight="1" x14ac:dyDescent="0.3">
      <c r="A8" s="13" t="s">
        <v>974</v>
      </c>
      <c r="B8" s="13" t="s">
        <v>975</v>
      </c>
      <c r="C8" s="13"/>
      <c r="D8" s="13"/>
      <c r="E8" s="13"/>
      <c r="F8" s="13"/>
      <c r="G8" s="13"/>
      <c r="H8" s="13"/>
    </row>
    <row r="9" spans="1:8" ht="30" customHeight="1" x14ac:dyDescent="0.3">
      <c r="A9" s="14" t="s">
        <v>974</v>
      </c>
      <c r="B9" s="14" t="s">
        <v>975</v>
      </c>
      <c r="C9" s="15" t="s">
        <v>976</v>
      </c>
      <c r="D9" s="16" t="s">
        <v>977</v>
      </c>
      <c r="E9" s="22">
        <v>1</v>
      </c>
      <c r="F9" s="18" t="s">
        <v>45</v>
      </c>
      <c r="G9" s="16" t="s">
        <v>978</v>
      </c>
      <c r="H9" s="16" t="s">
        <v>979</v>
      </c>
    </row>
    <row r="10" spans="1:8" ht="30" customHeight="1" x14ac:dyDescent="0.3">
      <c r="A10" s="19" t="s">
        <v>974</v>
      </c>
      <c r="B10" s="19" t="s">
        <v>975</v>
      </c>
      <c r="C10" s="20" t="s">
        <v>980</v>
      </c>
      <c r="D10" s="21" t="s">
        <v>981</v>
      </c>
      <c r="E10" s="22">
        <v>1</v>
      </c>
      <c r="F10" s="18" t="s">
        <v>45</v>
      </c>
      <c r="G10" s="21" t="s">
        <v>982</v>
      </c>
      <c r="H10" s="21" t="s">
        <v>983</v>
      </c>
    </row>
    <row r="11" spans="1:8" ht="18" customHeight="1" x14ac:dyDescent="0.3">
      <c r="A11" s="13" t="s">
        <v>984</v>
      </c>
      <c r="B11" s="13" t="s">
        <v>985</v>
      </c>
      <c r="C11" s="13"/>
      <c r="D11" s="13"/>
      <c r="E11" s="13"/>
      <c r="F11" s="13"/>
      <c r="G11" s="13"/>
      <c r="H11" s="13"/>
    </row>
    <row r="12" spans="1:8" ht="30" customHeight="1" x14ac:dyDescent="0.3">
      <c r="A12" s="14" t="s">
        <v>984</v>
      </c>
      <c r="B12" s="14" t="s">
        <v>985</v>
      </c>
      <c r="C12" s="15" t="s">
        <v>986</v>
      </c>
      <c r="D12" s="16" t="s">
        <v>987</v>
      </c>
      <c r="E12" s="17">
        <v>2</v>
      </c>
      <c r="F12" s="18" t="s">
        <v>45</v>
      </c>
      <c r="G12" s="16" t="s">
        <v>988</v>
      </c>
      <c r="H12" s="16" t="s">
        <v>979</v>
      </c>
    </row>
    <row r="13" spans="1:8" ht="30" customHeight="1" x14ac:dyDescent="0.3">
      <c r="A13" s="19" t="s">
        <v>984</v>
      </c>
      <c r="B13" s="19" t="s">
        <v>985</v>
      </c>
      <c r="C13" s="20" t="s">
        <v>989</v>
      </c>
      <c r="D13" s="21" t="s">
        <v>990</v>
      </c>
      <c r="E13" s="17">
        <v>2</v>
      </c>
      <c r="F13" s="18" t="s">
        <v>45</v>
      </c>
      <c r="G13" s="21" t="s">
        <v>991</v>
      </c>
      <c r="H13" s="21" t="s">
        <v>983</v>
      </c>
    </row>
    <row r="14" spans="1:8" ht="30" customHeight="1" x14ac:dyDescent="0.3">
      <c r="A14" s="14" t="s">
        <v>984</v>
      </c>
      <c r="B14" s="14" t="s">
        <v>985</v>
      </c>
      <c r="C14" s="15" t="s">
        <v>992</v>
      </c>
      <c r="D14" s="16" t="s">
        <v>993</v>
      </c>
      <c r="E14" s="17">
        <v>2</v>
      </c>
      <c r="F14" s="18" t="s">
        <v>45</v>
      </c>
      <c r="G14" s="16" t="s">
        <v>994</v>
      </c>
      <c r="H14" s="16" t="s">
        <v>250</v>
      </c>
    </row>
    <row r="15" spans="1:8" ht="30" customHeight="1" x14ac:dyDescent="0.3">
      <c r="A15" s="19" t="s">
        <v>984</v>
      </c>
      <c r="B15" s="19" t="s">
        <v>985</v>
      </c>
      <c r="C15" s="20" t="s">
        <v>995</v>
      </c>
      <c r="D15" s="21" t="s">
        <v>996</v>
      </c>
      <c r="E15" s="17">
        <v>2</v>
      </c>
      <c r="F15" s="18" t="s">
        <v>45</v>
      </c>
      <c r="G15" s="21" t="s">
        <v>997</v>
      </c>
      <c r="H15" s="21" t="s">
        <v>998</v>
      </c>
    </row>
    <row r="16" spans="1:8" ht="30" customHeight="1" x14ac:dyDescent="0.3">
      <c r="A16" s="14" t="s">
        <v>984</v>
      </c>
      <c r="B16" s="14" t="s">
        <v>985</v>
      </c>
      <c r="C16" s="15" t="s">
        <v>999</v>
      </c>
      <c r="D16" s="16" t="s">
        <v>1000</v>
      </c>
      <c r="E16" s="23">
        <v>3</v>
      </c>
      <c r="F16" s="18" t="s">
        <v>45</v>
      </c>
      <c r="G16" s="16" t="s">
        <v>1001</v>
      </c>
      <c r="H16" s="16" t="s">
        <v>1002</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1003</v>
      </c>
      <c r="B2" s="13" t="s">
        <v>1004</v>
      </c>
      <c r="C2" s="13"/>
      <c r="D2" s="13"/>
      <c r="E2" s="13"/>
      <c r="F2" s="13"/>
      <c r="G2" s="13"/>
      <c r="H2" s="13"/>
    </row>
    <row r="3" spans="1:8" ht="30" customHeight="1" x14ac:dyDescent="0.3">
      <c r="A3" s="14" t="s">
        <v>1003</v>
      </c>
      <c r="B3" s="14" t="s">
        <v>1004</v>
      </c>
      <c r="C3" s="15" t="s">
        <v>1005</v>
      </c>
      <c r="D3" s="16" t="s">
        <v>1006</v>
      </c>
      <c r="E3" s="17">
        <v>2</v>
      </c>
      <c r="F3" s="18" t="s">
        <v>45</v>
      </c>
      <c r="G3" s="16" t="s">
        <v>1007</v>
      </c>
      <c r="H3" s="16" t="s">
        <v>1008</v>
      </c>
    </row>
    <row r="4" spans="1:8" ht="30" customHeight="1" x14ac:dyDescent="0.3">
      <c r="A4" s="19" t="s">
        <v>1003</v>
      </c>
      <c r="B4" s="19" t="s">
        <v>1004</v>
      </c>
      <c r="C4" s="20" t="s">
        <v>1009</v>
      </c>
      <c r="D4" s="21" t="s">
        <v>1010</v>
      </c>
      <c r="E4" s="23">
        <v>3</v>
      </c>
      <c r="F4" s="18" t="s">
        <v>23</v>
      </c>
      <c r="G4" s="21" t="s">
        <v>1011</v>
      </c>
      <c r="H4" s="21" t="s">
        <v>23</v>
      </c>
    </row>
    <row r="5" spans="1:8" ht="30" customHeight="1" x14ac:dyDescent="0.3">
      <c r="A5" s="14" t="s">
        <v>1003</v>
      </c>
      <c r="B5" s="14" t="s">
        <v>1004</v>
      </c>
      <c r="C5" s="15" t="s">
        <v>1012</v>
      </c>
      <c r="D5" s="16" t="s">
        <v>1013</v>
      </c>
      <c r="E5" s="23">
        <v>3</v>
      </c>
      <c r="F5" s="18" t="s">
        <v>45</v>
      </c>
      <c r="G5" s="16" t="s">
        <v>1014</v>
      </c>
      <c r="H5" s="16" t="s">
        <v>1015</v>
      </c>
    </row>
    <row r="6" spans="1:8" ht="30" customHeight="1" x14ac:dyDescent="0.3">
      <c r="A6" s="19" t="s">
        <v>1003</v>
      </c>
      <c r="B6" s="19" t="s">
        <v>1004</v>
      </c>
      <c r="C6" s="20" t="s">
        <v>1016</v>
      </c>
      <c r="D6" s="21" t="s">
        <v>1017</v>
      </c>
      <c r="E6" s="23">
        <v>3</v>
      </c>
      <c r="F6" s="18" t="s">
        <v>45</v>
      </c>
      <c r="G6" s="21" t="s">
        <v>1018</v>
      </c>
      <c r="H6" s="21" t="s">
        <v>1019</v>
      </c>
    </row>
    <row r="7" spans="1:8" ht="18" customHeight="1" x14ac:dyDescent="0.3">
      <c r="A7" s="13" t="s">
        <v>1020</v>
      </c>
      <c r="B7" s="13" t="s">
        <v>1021</v>
      </c>
      <c r="C7" s="13"/>
      <c r="D7" s="13"/>
      <c r="E7" s="13"/>
      <c r="F7" s="13"/>
      <c r="G7" s="13"/>
      <c r="H7" s="13"/>
    </row>
    <row r="8" spans="1:8" ht="30" customHeight="1" x14ac:dyDescent="0.3">
      <c r="A8" s="14" t="s">
        <v>1020</v>
      </c>
      <c r="B8" s="14" t="s">
        <v>1021</v>
      </c>
      <c r="C8" s="15" t="s">
        <v>1022</v>
      </c>
      <c r="D8" s="16" t="s">
        <v>1023</v>
      </c>
      <c r="E8" s="17">
        <v>2</v>
      </c>
      <c r="F8" s="18" t="s">
        <v>45</v>
      </c>
      <c r="G8" s="16" t="s">
        <v>1024</v>
      </c>
      <c r="H8" s="16" t="s">
        <v>1025</v>
      </c>
    </row>
    <row r="9" spans="1:8" ht="30" customHeight="1" x14ac:dyDescent="0.3">
      <c r="A9" s="19" t="s">
        <v>1020</v>
      </c>
      <c r="B9" s="19" t="s">
        <v>1021</v>
      </c>
      <c r="C9" s="20" t="s">
        <v>1026</v>
      </c>
      <c r="D9" s="21" t="s">
        <v>1027</v>
      </c>
      <c r="E9" s="17">
        <v>2</v>
      </c>
      <c r="F9" s="18" t="s">
        <v>45</v>
      </c>
      <c r="G9" s="21" t="s">
        <v>1028</v>
      </c>
      <c r="H9" s="21" t="s">
        <v>1029</v>
      </c>
    </row>
    <row r="10" spans="1:8" ht="30" customHeight="1" x14ac:dyDescent="0.3">
      <c r="A10" s="14" t="s">
        <v>1020</v>
      </c>
      <c r="B10" s="14" t="s">
        <v>1021</v>
      </c>
      <c r="C10" s="15" t="s">
        <v>1030</v>
      </c>
      <c r="D10" s="16" t="s">
        <v>1031</v>
      </c>
      <c r="E10" s="17">
        <v>2</v>
      </c>
      <c r="F10" s="18" t="s">
        <v>45</v>
      </c>
      <c r="G10" s="16" t="s">
        <v>1032</v>
      </c>
      <c r="H10" s="16" t="s">
        <v>1033</v>
      </c>
    </row>
    <row r="11" spans="1:8" ht="30" customHeight="1" x14ac:dyDescent="0.3">
      <c r="A11" s="19" t="s">
        <v>1020</v>
      </c>
      <c r="B11" s="19" t="s">
        <v>1021</v>
      </c>
      <c r="C11" s="20" t="s">
        <v>1034</v>
      </c>
      <c r="D11" s="21" t="s">
        <v>1035</v>
      </c>
      <c r="E11" s="17">
        <v>2</v>
      </c>
      <c r="F11" s="18" t="s">
        <v>23</v>
      </c>
      <c r="G11" s="21" t="s">
        <v>1036</v>
      </c>
      <c r="H11" s="21" t="s">
        <v>23</v>
      </c>
    </row>
    <row r="12" spans="1:8" ht="30" customHeight="1" x14ac:dyDescent="0.3">
      <c r="A12" s="14" t="s">
        <v>1020</v>
      </c>
      <c r="B12" s="14" t="s">
        <v>1021</v>
      </c>
      <c r="C12" s="15" t="s">
        <v>1037</v>
      </c>
      <c r="D12" s="16" t="s">
        <v>1038</v>
      </c>
      <c r="E12" s="17">
        <v>2</v>
      </c>
      <c r="F12" s="18" t="s">
        <v>45</v>
      </c>
      <c r="G12" s="16" t="s">
        <v>1039</v>
      </c>
      <c r="H12" s="16" t="s">
        <v>1040</v>
      </c>
    </row>
    <row r="13" spans="1:8" ht="30" customHeight="1" x14ac:dyDescent="0.3">
      <c r="A13" s="19" t="s">
        <v>1020</v>
      </c>
      <c r="B13" s="19" t="s">
        <v>1021</v>
      </c>
      <c r="C13" s="20" t="s">
        <v>1041</v>
      </c>
      <c r="D13" s="21" t="s">
        <v>1042</v>
      </c>
      <c r="E13" s="23">
        <v>3</v>
      </c>
      <c r="F13" s="18" t="s">
        <v>23</v>
      </c>
      <c r="G13" s="21" t="s">
        <v>1043</v>
      </c>
      <c r="H13" s="21" t="s">
        <v>23</v>
      </c>
    </row>
    <row r="14" spans="1:8" ht="18" customHeight="1" x14ac:dyDescent="0.3">
      <c r="A14" s="13" t="s">
        <v>1044</v>
      </c>
      <c r="B14" s="13" t="s">
        <v>1045</v>
      </c>
      <c r="C14" s="13"/>
      <c r="D14" s="13"/>
      <c r="E14" s="13"/>
      <c r="F14" s="13"/>
      <c r="G14" s="13"/>
      <c r="H14" s="13"/>
    </row>
    <row r="15" spans="1:8" ht="30" customHeight="1" x14ac:dyDescent="0.3">
      <c r="A15" s="14" t="s">
        <v>1044</v>
      </c>
      <c r="B15" s="14" t="s">
        <v>1045</v>
      </c>
      <c r="C15" s="15" t="s">
        <v>1046</v>
      </c>
      <c r="D15" s="16" t="s">
        <v>1047</v>
      </c>
      <c r="E15" s="17">
        <v>2</v>
      </c>
      <c r="F15" s="18" t="s">
        <v>45</v>
      </c>
      <c r="G15" s="16" t="s">
        <v>1048</v>
      </c>
      <c r="H15" s="16" t="s">
        <v>1049</v>
      </c>
    </row>
    <row r="16" spans="1:8" ht="30" customHeight="1" x14ac:dyDescent="0.3">
      <c r="A16" s="19" t="s">
        <v>1044</v>
      </c>
      <c r="B16" s="19" t="s">
        <v>1045</v>
      </c>
      <c r="C16" s="20" t="s">
        <v>1050</v>
      </c>
      <c r="D16" s="21" t="s">
        <v>1051</v>
      </c>
      <c r="E16" s="17">
        <v>2</v>
      </c>
      <c r="F16" s="18" t="s">
        <v>45</v>
      </c>
      <c r="G16" s="21" t="s">
        <v>1052</v>
      </c>
      <c r="H16" s="21" t="s">
        <v>1053</v>
      </c>
    </row>
    <row r="17" spans="1:8" ht="30" customHeight="1" x14ac:dyDescent="0.3">
      <c r="A17" s="14" t="s">
        <v>1044</v>
      </c>
      <c r="B17" s="14" t="s">
        <v>1045</v>
      </c>
      <c r="C17" s="15" t="s">
        <v>1054</v>
      </c>
      <c r="D17" s="16" t="s">
        <v>1055</v>
      </c>
      <c r="E17" s="23">
        <v>3</v>
      </c>
      <c r="F17" s="18" t="s">
        <v>45</v>
      </c>
      <c r="G17" s="16" t="s">
        <v>1056</v>
      </c>
      <c r="H17" s="16" t="s">
        <v>384</v>
      </c>
    </row>
    <row r="18" spans="1:8" ht="30" customHeight="1" x14ac:dyDescent="0.3">
      <c r="A18" s="19" t="s">
        <v>1044</v>
      </c>
      <c r="B18" s="19" t="s">
        <v>1045</v>
      </c>
      <c r="C18" s="20" t="s">
        <v>1057</v>
      </c>
      <c r="D18" s="21" t="s">
        <v>1058</v>
      </c>
      <c r="E18" s="23">
        <v>3</v>
      </c>
      <c r="F18" s="18" t="s">
        <v>45</v>
      </c>
      <c r="G18" s="21" t="s">
        <v>1059</v>
      </c>
      <c r="H18" s="21" t="s">
        <v>1019</v>
      </c>
    </row>
    <row r="19" spans="1:8" ht="18" customHeight="1" x14ac:dyDescent="0.3">
      <c r="A19" s="13" t="s">
        <v>1060</v>
      </c>
      <c r="B19" s="13" t="s">
        <v>1061</v>
      </c>
      <c r="C19" s="13"/>
      <c r="D19" s="13"/>
      <c r="E19" s="13"/>
      <c r="F19" s="13"/>
      <c r="G19" s="13"/>
      <c r="H19" s="13"/>
    </row>
    <row r="20" spans="1:8" ht="30" customHeight="1" x14ac:dyDescent="0.3">
      <c r="A20" s="14" t="s">
        <v>1060</v>
      </c>
      <c r="B20" s="14" t="s">
        <v>1061</v>
      </c>
      <c r="C20" s="15" t="s">
        <v>1062</v>
      </c>
      <c r="D20" s="16" t="s">
        <v>1063</v>
      </c>
      <c r="E20" s="22">
        <v>1</v>
      </c>
      <c r="F20" s="18" t="s">
        <v>45</v>
      </c>
      <c r="G20" s="16" t="s">
        <v>1064</v>
      </c>
      <c r="H20" s="16" t="s">
        <v>1065</v>
      </c>
    </row>
    <row r="21" spans="1:8" ht="30" customHeight="1" x14ac:dyDescent="0.3">
      <c r="A21" s="19" t="s">
        <v>1060</v>
      </c>
      <c r="B21" s="19" t="s">
        <v>1061</v>
      </c>
      <c r="C21" s="20" t="s">
        <v>1066</v>
      </c>
      <c r="D21" s="21" t="s">
        <v>1067</v>
      </c>
      <c r="E21" s="17">
        <v>2</v>
      </c>
      <c r="F21" s="18" t="s">
        <v>45</v>
      </c>
      <c r="G21" s="21" t="s">
        <v>1068</v>
      </c>
      <c r="H21" s="21" t="s">
        <v>1065</v>
      </c>
    </row>
    <row r="22" spans="1:8" ht="30" customHeight="1" x14ac:dyDescent="0.3">
      <c r="A22" s="14" t="s">
        <v>1060</v>
      </c>
      <c r="B22" s="14" t="s">
        <v>1061</v>
      </c>
      <c r="C22" s="15" t="s">
        <v>1069</v>
      </c>
      <c r="D22" s="16" t="s">
        <v>1070</v>
      </c>
      <c r="E22" s="17">
        <v>2</v>
      </c>
      <c r="F22" s="18" t="s">
        <v>45</v>
      </c>
      <c r="G22" s="16" t="s">
        <v>1071</v>
      </c>
      <c r="H22" s="16" t="s">
        <v>1065</v>
      </c>
    </row>
    <row r="23" spans="1:8" ht="30" customHeight="1" x14ac:dyDescent="0.3">
      <c r="A23" s="19" t="s">
        <v>1060</v>
      </c>
      <c r="B23" s="19" t="s">
        <v>1061</v>
      </c>
      <c r="C23" s="20" t="s">
        <v>1072</v>
      </c>
      <c r="D23" s="21" t="s">
        <v>1073</v>
      </c>
      <c r="E23" s="17">
        <v>2</v>
      </c>
      <c r="F23" s="18" t="s">
        <v>45</v>
      </c>
      <c r="G23" s="21" t="s">
        <v>1074</v>
      </c>
      <c r="H23" s="21" t="s">
        <v>1075</v>
      </c>
    </row>
    <row r="24" spans="1:8" ht="30" customHeight="1" x14ac:dyDescent="0.3">
      <c r="A24" s="14" t="s">
        <v>1060</v>
      </c>
      <c r="B24" s="14" t="s">
        <v>1061</v>
      </c>
      <c r="C24" s="15" t="s">
        <v>1076</v>
      </c>
      <c r="D24" s="16" t="s">
        <v>1077</v>
      </c>
      <c r="E24" s="17">
        <v>2</v>
      </c>
      <c r="F24" s="18" t="s">
        <v>45</v>
      </c>
      <c r="G24" s="16" t="s">
        <v>1078</v>
      </c>
      <c r="H24" s="16" t="s">
        <v>664</v>
      </c>
    </row>
    <row r="25" spans="1:8" ht="30" customHeight="1" x14ac:dyDescent="0.3">
      <c r="A25" s="19" t="s">
        <v>1060</v>
      </c>
      <c r="B25" s="19" t="s">
        <v>1061</v>
      </c>
      <c r="C25" s="20" t="s">
        <v>1079</v>
      </c>
      <c r="D25" s="21" t="s">
        <v>1080</v>
      </c>
      <c r="E25" s="23">
        <v>3</v>
      </c>
      <c r="F25" s="18" t="s">
        <v>45</v>
      </c>
      <c r="G25" s="21" t="s">
        <v>1081</v>
      </c>
      <c r="H25" s="21" t="s">
        <v>1065</v>
      </c>
    </row>
    <row r="26" spans="1:8" ht="30" customHeight="1" x14ac:dyDescent="0.3">
      <c r="A26" s="14" t="s">
        <v>1060</v>
      </c>
      <c r="B26" s="14" t="s">
        <v>1061</v>
      </c>
      <c r="C26" s="15" t="s">
        <v>1082</v>
      </c>
      <c r="D26" s="16" t="s">
        <v>1083</v>
      </c>
      <c r="E26" s="23">
        <v>3</v>
      </c>
      <c r="F26" s="18" t="s">
        <v>45</v>
      </c>
      <c r="G26" s="16" t="s">
        <v>1084</v>
      </c>
      <c r="H26" s="16" t="s">
        <v>1085</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1086</v>
      </c>
      <c r="B2" s="13" t="s">
        <v>1087</v>
      </c>
      <c r="C2" s="13"/>
      <c r="D2" s="13"/>
      <c r="E2" s="13"/>
      <c r="F2" s="13"/>
      <c r="G2" s="13"/>
      <c r="H2" s="13"/>
    </row>
    <row r="3" spans="1:8" ht="30" customHeight="1" x14ac:dyDescent="0.3">
      <c r="A3" s="14" t="s">
        <v>1086</v>
      </c>
      <c r="B3" s="14" t="s">
        <v>1087</v>
      </c>
      <c r="C3" s="15" t="s">
        <v>1088</v>
      </c>
      <c r="D3" s="16" t="s">
        <v>1089</v>
      </c>
      <c r="E3" s="17">
        <v>2</v>
      </c>
      <c r="F3" s="18" t="s">
        <v>45</v>
      </c>
      <c r="G3" s="16" t="s">
        <v>1090</v>
      </c>
      <c r="H3" s="16" t="s">
        <v>1091</v>
      </c>
    </row>
    <row r="4" spans="1:8" ht="30" customHeight="1" x14ac:dyDescent="0.3">
      <c r="A4" s="19" t="s">
        <v>1086</v>
      </c>
      <c r="B4" s="19" t="s">
        <v>1087</v>
      </c>
      <c r="C4" s="20" t="s">
        <v>1092</v>
      </c>
      <c r="D4" s="21" t="s">
        <v>1093</v>
      </c>
      <c r="E4" s="17">
        <v>2</v>
      </c>
      <c r="F4" s="18" t="s">
        <v>45</v>
      </c>
      <c r="G4" s="21" t="s">
        <v>1094</v>
      </c>
      <c r="H4" s="21" t="s">
        <v>1095</v>
      </c>
    </row>
    <row r="5" spans="1:8" ht="18" customHeight="1" x14ac:dyDescent="0.3">
      <c r="A5" s="13" t="s">
        <v>1096</v>
      </c>
      <c r="B5" s="13" t="s">
        <v>1097</v>
      </c>
      <c r="C5" s="13"/>
      <c r="D5" s="13"/>
      <c r="E5" s="13"/>
      <c r="F5" s="13"/>
      <c r="G5" s="13"/>
      <c r="H5" s="13"/>
    </row>
    <row r="6" spans="1:8" ht="30" customHeight="1" x14ac:dyDescent="0.3">
      <c r="A6" s="14" t="s">
        <v>1096</v>
      </c>
      <c r="B6" s="14" t="s">
        <v>1097</v>
      </c>
      <c r="C6" s="15" t="s">
        <v>1098</v>
      </c>
      <c r="D6" s="16" t="s">
        <v>1099</v>
      </c>
      <c r="E6" s="22">
        <v>1</v>
      </c>
      <c r="F6" s="18" t="s">
        <v>66</v>
      </c>
      <c r="G6" s="16" t="s">
        <v>1100</v>
      </c>
      <c r="H6" s="16" t="s">
        <v>1101</v>
      </c>
    </row>
    <row r="7" spans="1:8" ht="30" customHeight="1" x14ac:dyDescent="0.3">
      <c r="A7" s="19" t="s">
        <v>1096</v>
      </c>
      <c r="B7" s="19" t="s">
        <v>1097</v>
      </c>
      <c r="C7" s="20" t="s">
        <v>1102</v>
      </c>
      <c r="D7" s="21" t="s">
        <v>1103</v>
      </c>
      <c r="E7" s="17">
        <v>2</v>
      </c>
      <c r="F7" s="18" t="s">
        <v>45</v>
      </c>
      <c r="G7" s="21" t="s">
        <v>1104</v>
      </c>
      <c r="H7" s="21" t="s">
        <v>1065</v>
      </c>
    </row>
    <row r="8" spans="1:8" ht="30" customHeight="1" x14ac:dyDescent="0.3">
      <c r="A8" s="14" t="s">
        <v>1096</v>
      </c>
      <c r="B8" s="14" t="s">
        <v>1097</v>
      </c>
      <c r="C8" s="15" t="s">
        <v>1105</v>
      </c>
      <c r="D8" s="16" t="s">
        <v>1106</v>
      </c>
      <c r="E8" s="17">
        <v>2</v>
      </c>
      <c r="F8" s="18" t="s">
        <v>66</v>
      </c>
      <c r="G8" s="16" t="s">
        <v>1107</v>
      </c>
      <c r="H8" s="16" t="s">
        <v>1108</v>
      </c>
    </row>
    <row r="9" spans="1:8" ht="30" customHeight="1" x14ac:dyDescent="0.3">
      <c r="A9" s="19" t="s">
        <v>1096</v>
      </c>
      <c r="B9" s="19" t="s">
        <v>1097</v>
      </c>
      <c r="C9" s="20" t="s">
        <v>1109</v>
      </c>
      <c r="D9" s="21" t="s">
        <v>1110</v>
      </c>
      <c r="E9" s="17">
        <v>2</v>
      </c>
      <c r="F9" s="18" t="s">
        <v>45</v>
      </c>
      <c r="G9" s="21" t="s">
        <v>1111</v>
      </c>
      <c r="H9" s="21" t="s">
        <v>1091</v>
      </c>
    </row>
    <row r="10" spans="1:8" ht="30" customHeight="1" x14ac:dyDescent="0.3">
      <c r="A10" s="14" t="s">
        <v>1096</v>
      </c>
      <c r="B10" s="14" t="s">
        <v>1097</v>
      </c>
      <c r="C10" s="15" t="s">
        <v>1112</v>
      </c>
      <c r="D10" s="16" t="s">
        <v>1113</v>
      </c>
      <c r="E10" s="23">
        <v>3</v>
      </c>
      <c r="F10" s="18" t="s">
        <v>45</v>
      </c>
      <c r="G10" s="16" t="s">
        <v>1114</v>
      </c>
      <c r="H10" s="16" t="s">
        <v>1065</v>
      </c>
    </row>
    <row r="11" spans="1:8" ht="30" customHeight="1" x14ac:dyDescent="0.3">
      <c r="A11" s="19" t="s">
        <v>1096</v>
      </c>
      <c r="B11" s="19" t="s">
        <v>1097</v>
      </c>
      <c r="C11" s="20" t="s">
        <v>1115</v>
      </c>
      <c r="D11" s="21" t="s">
        <v>1116</v>
      </c>
      <c r="E11" s="23">
        <v>3</v>
      </c>
      <c r="F11" s="18" t="s">
        <v>66</v>
      </c>
      <c r="G11" s="21" t="s">
        <v>1117</v>
      </c>
      <c r="H11" s="21" t="s">
        <v>51</v>
      </c>
    </row>
    <row r="12" spans="1:8" ht="30" customHeight="1" x14ac:dyDescent="0.3">
      <c r="A12" s="14" t="s">
        <v>1096</v>
      </c>
      <c r="B12" s="14" t="s">
        <v>1097</v>
      </c>
      <c r="C12" s="15" t="s">
        <v>1118</v>
      </c>
      <c r="D12" s="16" t="s">
        <v>1119</v>
      </c>
      <c r="E12" s="23">
        <v>3</v>
      </c>
      <c r="F12" s="18" t="s">
        <v>45</v>
      </c>
      <c r="G12" s="16" t="s">
        <v>1120</v>
      </c>
      <c r="H12" s="16" t="s">
        <v>1121</v>
      </c>
    </row>
    <row r="13" spans="1:8" ht="30" customHeight="1" x14ac:dyDescent="0.3">
      <c r="A13" s="19" t="s">
        <v>1096</v>
      </c>
      <c r="B13" s="19" t="s">
        <v>1097</v>
      </c>
      <c r="C13" s="20" t="s">
        <v>1122</v>
      </c>
      <c r="D13" s="21" t="s">
        <v>1123</v>
      </c>
      <c r="E13" s="23">
        <v>3</v>
      </c>
      <c r="F13" s="18" t="s">
        <v>23</v>
      </c>
      <c r="G13" s="21" t="s">
        <v>1124</v>
      </c>
      <c r="H13" s="21" t="s">
        <v>23</v>
      </c>
    </row>
    <row r="14" spans="1:8" ht="18" customHeight="1" x14ac:dyDescent="0.3">
      <c r="A14" s="13" t="s">
        <v>1125</v>
      </c>
      <c r="B14" s="13" t="s">
        <v>1126</v>
      </c>
      <c r="C14" s="13"/>
      <c r="D14" s="13"/>
      <c r="E14" s="13"/>
      <c r="F14" s="13"/>
      <c r="G14" s="13"/>
      <c r="H14" s="13"/>
    </row>
    <row r="15" spans="1:8" ht="30" customHeight="1" x14ac:dyDescent="0.3">
      <c r="A15" s="14" t="s">
        <v>1125</v>
      </c>
      <c r="B15" s="14" t="s">
        <v>1126</v>
      </c>
      <c r="C15" s="15" t="s">
        <v>1127</v>
      </c>
      <c r="D15" s="16" t="s">
        <v>1128</v>
      </c>
      <c r="E15" s="22">
        <v>1</v>
      </c>
      <c r="F15" s="18" t="s">
        <v>45</v>
      </c>
      <c r="G15" s="16" t="s">
        <v>1129</v>
      </c>
      <c r="H15" s="16" t="s">
        <v>1130</v>
      </c>
    </row>
    <row r="16" spans="1:8" ht="30" customHeight="1" x14ac:dyDescent="0.3">
      <c r="A16" s="19" t="s">
        <v>1125</v>
      </c>
      <c r="B16" s="19" t="s">
        <v>1126</v>
      </c>
      <c r="C16" s="20" t="s">
        <v>1131</v>
      </c>
      <c r="D16" s="21" t="s">
        <v>1132</v>
      </c>
      <c r="E16" s="17">
        <v>2</v>
      </c>
      <c r="F16" s="18" t="s">
        <v>45</v>
      </c>
      <c r="G16" s="21" t="s">
        <v>1133</v>
      </c>
      <c r="H16" s="21" t="s">
        <v>1065</v>
      </c>
    </row>
    <row r="17" spans="1:8" ht="30" customHeight="1" x14ac:dyDescent="0.3">
      <c r="A17" s="14" t="s">
        <v>1125</v>
      </c>
      <c r="B17" s="14" t="s">
        <v>1126</v>
      </c>
      <c r="C17" s="15" t="s">
        <v>1134</v>
      </c>
      <c r="D17" s="16" t="s">
        <v>1135</v>
      </c>
      <c r="E17" s="17">
        <v>2</v>
      </c>
      <c r="F17" s="18" t="s">
        <v>66</v>
      </c>
      <c r="G17" s="16" t="s">
        <v>1136</v>
      </c>
      <c r="H17" s="16" t="s">
        <v>1130</v>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1137</v>
      </c>
      <c r="B2" s="13" t="s">
        <v>1138</v>
      </c>
      <c r="C2" s="13"/>
      <c r="D2" s="13"/>
      <c r="E2" s="13"/>
      <c r="F2" s="13"/>
      <c r="G2" s="13"/>
      <c r="H2" s="13"/>
    </row>
    <row r="3" spans="1:8" ht="30" customHeight="1" x14ac:dyDescent="0.3">
      <c r="A3" s="14" t="s">
        <v>1137</v>
      </c>
      <c r="B3" s="14" t="s">
        <v>1138</v>
      </c>
      <c r="C3" s="15" t="s">
        <v>1139</v>
      </c>
      <c r="D3" s="16" t="s">
        <v>1140</v>
      </c>
      <c r="E3" s="22">
        <v>1</v>
      </c>
      <c r="F3" s="18" t="s">
        <v>45</v>
      </c>
      <c r="G3" s="16" t="s">
        <v>1141</v>
      </c>
      <c r="H3" s="16" t="s">
        <v>1142</v>
      </c>
    </row>
    <row r="4" spans="1:8" ht="30" customHeight="1" x14ac:dyDescent="0.3">
      <c r="A4" s="19" t="s">
        <v>1137</v>
      </c>
      <c r="B4" s="19" t="s">
        <v>1138</v>
      </c>
      <c r="C4" s="20" t="s">
        <v>1143</v>
      </c>
      <c r="D4" s="21" t="s">
        <v>1144</v>
      </c>
      <c r="E4" s="17">
        <v>2</v>
      </c>
      <c r="F4" s="18" t="s">
        <v>45</v>
      </c>
      <c r="G4" s="21" t="s">
        <v>1145</v>
      </c>
      <c r="H4" s="21" t="s">
        <v>1146</v>
      </c>
    </row>
    <row r="5" spans="1:8" ht="30" customHeight="1" x14ac:dyDescent="0.3">
      <c r="A5" s="14" t="s">
        <v>1137</v>
      </c>
      <c r="B5" s="14" t="s">
        <v>1138</v>
      </c>
      <c r="C5" s="15" t="s">
        <v>1147</v>
      </c>
      <c r="D5" s="16" t="s">
        <v>1148</v>
      </c>
      <c r="E5" s="17">
        <v>2</v>
      </c>
      <c r="F5" s="18" t="s">
        <v>45</v>
      </c>
      <c r="G5" s="16" t="s">
        <v>1149</v>
      </c>
      <c r="H5" s="16" t="s">
        <v>1150</v>
      </c>
    </row>
    <row r="6" spans="1:8" ht="30" customHeight="1" x14ac:dyDescent="0.3">
      <c r="A6" s="19" t="s">
        <v>1137</v>
      </c>
      <c r="B6" s="19" t="s">
        <v>1138</v>
      </c>
      <c r="C6" s="20" t="s">
        <v>1151</v>
      </c>
      <c r="D6" s="21" t="s">
        <v>1152</v>
      </c>
      <c r="E6" s="23">
        <v>3</v>
      </c>
      <c r="F6" s="18" t="s">
        <v>45</v>
      </c>
      <c r="G6" s="21" t="s">
        <v>1153</v>
      </c>
      <c r="H6" s="21" t="s">
        <v>1154</v>
      </c>
    </row>
    <row r="7" spans="1:8" ht="30" customHeight="1" x14ac:dyDescent="0.3">
      <c r="A7" s="14" t="s">
        <v>1137</v>
      </c>
      <c r="B7" s="14" t="s">
        <v>1138</v>
      </c>
      <c r="C7" s="15" t="s">
        <v>1155</v>
      </c>
      <c r="D7" s="16" t="s">
        <v>1156</v>
      </c>
      <c r="E7" s="23">
        <v>3</v>
      </c>
      <c r="F7" s="18" t="s">
        <v>45</v>
      </c>
      <c r="G7" s="16" t="s">
        <v>1157</v>
      </c>
      <c r="H7" s="16" t="s">
        <v>1158</v>
      </c>
    </row>
    <row r="8" spans="1:8" ht="18" customHeight="1" x14ac:dyDescent="0.3">
      <c r="A8" s="13" t="s">
        <v>1159</v>
      </c>
      <c r="B8" s="13" t="s">
        <v>1160</v>
      </c>
      <c r="C8" s="13"/>
      <c r="D8" s="13"/>
      <c r="E8" s="13"/>
      <c r="F8" s="13"/>
      <c r="G8" s="13"/>
      <c r="H8" s="13"/>
    </row>
    <row r="9" spans="1:8" ht="30" customHeight="1" x14ac:dyDescent="0.3">
      <c r="A9" s="14" t="s">
        <v>1159</v>
      </c>
      <c r="B9" s="14" t="s">
        <v>1160</v>
      </c>
      <c r="C9" s="15" t="s">
        <v>1161</v>
      </c>
      <c r="D9" s="16" t="s">
        <v>1162</v>
      </c>
      <c r="E9" s="22">
        <v>1</v>
      </c>
      <c r="F9" s="18" t="s">
        <v>45</v>
      </c>
      <c r="G9" s="16" t="s">
        <v>1163</v>
      </c>
      <c r="H9" s="16" t="s">
        <v>1142</v>
      </c>
    </row>
    <row r="10" spans="1:8" ht="30" customHeight="1" x14ac:dyDescent="0.3">
      <c r="A10" s="19" t="s">
        <v>1159</v>
      </c>
      <c r="B10" s="19" t="s">
        <v>1160</v>
      </c>
      <c r="C10" s="20" t="s">
        <v>1164</v>
      </c>
      <c r="D10" s="21" t="s">
        <v>1165</v>
      </c>
      <c r="E10" s="17">
        <v>2</v>
      </c>
      <c r="F10" s="18" t="s">
        <v>45</v>
      </c>
      <c r="G10" s="21" t="s">
        <v>1166</v>
      </c>
      <c r="H10" s="21" t="s">
        <v>1167</v>
      </c>
    </row>
    <row r="11" spans="1:8" ht="30" customHeight="1" x14ac:dyDescent="0.3">
      <c r="A11" s="14" t="s">
        <v>1159</v>
      </c>
      <c r="B11" s="14" t="s">
        <v>1160</v>
      </c>
      <c r="C11" s="15" t="s">
        <v>1168</v>
      </c>
      <c r="D11" s="16" t="s">
        <v>1169</v>
      </c>
      <c r="E11" s="17">
        <v>2</v>
      </c>
      <c r="F11" s="18" t="s">
        <v>45</v>
      </c>
      <c r="G11" s="16" t="s">
        <v>1170</v>
      </c>
      <c r="H11" s="16" t="s">
        <v>1065</v>
      </c>
    </row>
    <row r="12" spans="1:8" ht="30" customHeight="1" x14ac:dyDescent="0.3">
      <c r="A12" s="19" t="s">
        <v>1159</v>
      </c>
      <c r="B12" s="19" t="s">
        <v>1160</v>
      </c>
      <c r="C12" s="20" t="s">
        <v>1171</v>
      </c>
      <c r="D12" s="21" t="s">
        <v>1172</v>
      </c>
      <c r="E12" s="23">
        <v>3</v>
      </c>
      <c r="F12" s="18" t="s">
        <v>45</v>
      </c>
      <c r="G12" s="21" t="s">
        <v>1173</v>
      </c>
      <c r="H12" s="21" t="s">
        <v>1146</v>
      </c>
    </row>
    <row r="13" spans="1:8" ht="30" customHeight="1" x14ac:dyDescent="0.3">
      <c r="A13" s="14" t="s">
        <v>1159</v>
      </c>
      <c r="B13" s="14" t="s">
        <v>1160</v>
      </c>
      <c r="C13" s="15" t="s">
        <v>1174</v>
      </c>
      <c r="D13" s="16" t="s">
        <v>1175</v>
      </c>
      <c r="E13" s="23">
        <v>3</v>
      </c>
      <c r="F13" s="18" t="s">
        <v>45</v>
      </c>
      <c r="G13" s="16" t="s">
        <v>1176</v>
      </c>
      <c r="H13" s="16" t="s">
        <v>1158</v>
      </c>
    </row>
    <row r="14" spans="1:8" ht="18" customHeight="1" x14ac:dyDescent="0.3">
      <c r="A14" s="13" t="s">
        <v>1177</v>
      </c>
      <c r="B14" s="13" t="s">
        <v>1178</v>
      </c>
      <c r="C14" s="13"/>
      <c r="D14" s="13"/>
      <c r="E14" s="13"/>
      <c r="F14" s="13"/>
      <c r="G14" s="13"/>
      <c r="H14" s="13"/>
    </row>
    <row r="15" spans="1:8" ht="30" customHeight="1" x14ac:dyDescent="0.3">
      <c r="A15" s="14" t="s">
        <v>1177</v>
      </c>
      <c r="B15" s="14" t="s">
        <v>1178</v>
      </c>
      <c r="C15" s="15" t="s">
        <v>1179</v>
      </c>
      <c r="D15" s="16" t="s">
        <v>1180</v>
      </c>
      <c r="E15" s="22">
        <v>1</v>
      </c>
      <c r="F15" s="18" t="s">
        <v>45</v>
      </c>
      <c r="G15" s="16" t="s">
        <v>1181</v>
      </c>
      <c r="H15" s="16" t="s">
        <v>51</v>
      </c>
    </row>
    <row r="16" spans="1:8" ht="30" customHeight="1" x14ac:dyDescent="0.3">
      <c r="A16" s="19" t="s">
        <v>1177</v>
      </c>
      <c r="B16" s="19" t="s">
        <v>1178</v>
      </c>
      <c r="C16" s="20" t="s">
        <v>1182</v>
      </c>
      <c r="D16" s="21" t="s">
        <v>1183</v>
      </c>
      <c r="E16" s="17">
        <v>2</v>
      </c>
      <c r="F16" s="18" t="s">
        <v>45</v>
      </c>
      <c r="G16" s="21" t="s">
        <v>1184</v>
      </c>
      <c r="H16" s="21" t="s">
        <v>1185</v>
      </c>
    </row>
    <row r="17" spans="1:8" ht="30" customHeight="1" x14ac:dyDescent="0.3">
      <c r="A17" s="14" t="s">
        <v>1177</v>
      </c>
      <c r="B17" s="14" t="s">
        <v>1178</v>
      </c>
      <c r="C17" s="15" t="s">
        <v>1186</v>
      </c>
      <c r="D17" s="16" t="s">
        <v>1187</v>
      </c>
      <c r="E17" s="17">
        <v>2</v>
      </c>
      <c r="F17" s="18" t="s">
        <v>45</v>
      </c>
      <c r="G17" s="16" t="s">
        <v>1188</v>
      </c>
      <c r="H17" s="16" t="s">
        <v>1189</v>
      </c>
    </row>
    <row r="18" spans="1:8" ht="30" customHeight="1" x14ac:dyDescent="0.3">
      <c r="A18" s="19" t="s">
        <v>1177</v>
      </c>
      <c r="B18" s="19" t="s">
        <v>1178</v>
      </c>
      <c r="C18" s="20" t="s">
        <v>1190</v>
      </c>
      <c r="D18" s="21" t="s">
        <v>1191</v>
      </c>
      <c r="E18" s="17">
        <v>2</v>
      </c>
      <c r="F18" s="18" t="s">
        <v>45</v>
      </c>
      <c r="G18" s="21" t="s">
        <v>1192</v>
      </c>
      <c r="H18" s="21" t="s">
        <v>1193</v>
      </c>
    </row>
    <row r="19" spans="1:8" ht="30" customHeight="1" x14ac:dyDescent="0.3">
      <c r="A19" s="14" t="s">
        <v>1177</v>
      </c>
      <c r="B19" s="14" t="s">
        <v>1178</v>
      </c>
      <c r="C19" s="15" t="s">
        <v>1194</v>
      </c>
      <c r="D19" s="16" t="s">
        <v>1195</v>
      </c>
      <c r="E19" s="17">
        <v>2</v>
      </c>
      <c r="F19" s="18" t="s">
        <v>45</v>
      </c>
      <c r="G19" s="16" t="s">
        <v>1196</v>
      </c>
      <c r="H19" s="16" t="s">
        <v>146</v>
      </c>
    </row>
    <row r="20" spans="1:8" ht="30" customHeight="1" x14ac:dyDescent="0.3">
      <c r="A20" s="19" t="s">
        <v>1177</v>
      </c>
      <c r="B20" s="19" t="s">
        <v>1178</v>
      </c>
      <c r="C20" s="20" t="s">
        <v>1197</v>
      </c>
      <c r="D20" s="21" t="s">
        <v>1198</v>
      </c>
      <c r="E20" s="17">
        <v>2</v>
      </c>
      <c r="F20" s="18" t="s">
        <v>45</v>
      </c>
      <c r="G20" s="21" t="s">
        <v>1199</v>
      </c>
      <c r="H20" s="21" t="s">
        <v>146</v>
      </c>
    </row>
    <row r="21" spans="1:8" ht="30" customHeight="1" x14ac:dyDescent="0.3">
      <c r="A21" s="14" t="s">
        <v>1177</v>
      </c>
      <c r="B21" s="14" t="s">
        <v>1178</v>
      </c>
      <c r="C21" s="15" t="s">
        <v>1200</v>
      </c>
      <c r="D21" s="16" t="s">
        <v>1201</v>
      </c>
      <c r="E21" s="17">
        <v>2</v>
      </c>
      <c r="F21" s="18" t="s">
        <v>45</v>
      </c>
      <c r="G21" s="16" t="s">
        <v>1202</v>
      </c>
      <c r="H21" s="16" t="s">
        <v>146</v>
      </c>
    </row>
    <row r="22" spans="1:8" ht="18" customHeight="1" x14ac:dyDescent="0.3">
      <c r="A22" s="13" t="s">
        <v>1203</v>
      </c>
      <c r="B22" s="13" t="s">
        <v>1204</v>
      </c>
      <c r="C22" s="13"/>
      <c r="D22" s="13"/>
      <c r="E22" s="13"/>
      <c r="F22" s="13"/>
      <c r="G22" s="13"/>
      <c r="H22" s="13"/>
    </row>
    <row r="23" spans="1:8" ht="30" customHeight="1" x14ac:dyDescent="0.3">
      <c r="A23" s="14" t="s">
        <v>1203</v>
      </c>
      <c r="B23" s="14" t="s">
        <v>1204</v>
      </c>
      <c r="C23" s="15" t="s">
        <v>1205</v>
      </c>
      <c r="D23" s="16" t="s">
        <v>1206</v>
      </c>
      <c r="E23" s="23">
        <v>3</v>
      </c>
      <c r="F23" s="18" t="s">
        <v>45</v>
      </c>
      <c r="G23" s="16" t="s">
        <v>1207</v>
      </c>
      <c r="H23" s="16" t="s">
        <v>1208</v>
      </c>
    </row>
    <row r="24" spans="1:8" ht="30" customHeight="1" x14ac:dyDescent="0.3">
      <c r="A24" s="19" t="s">
        <v>1203</v>
      </c>
      <c r="B24" s="19" t="s">
        <v>1204</v>
      </c>
      <c r="C24" s="20" t="s">
        <v>1209</v>
      </c>
      <c r="D24" s="21" t="s">
        <v>1210</v>
      </c>
      <c r="E24" s="23">
        <v>3</v>
      </c>
      <c r="F24" s="18" t="s">
        <v>45</v>
      </c>
      <c r="G24" s="21" t="s">
        <v>1211</v>
      </c>
      <c r="H24" s="21" t="s">
        <v>193</v>
      </c>
    </row>
    <row r="25" spans="1:8" ht="30" customHeight="1" x14ac:dyDescent="0.3">
      <c r="A25" s="14" t="s">
        <v>1203</v>
      </c>
      <c r="B25" s="14" t="s">
        <v>1204</v>
      </c>
      <c r="C25" s="15" t="s">
        <v>1212</v>
      </c>
      <c r="D25" s="16" t="s">
        <v>1213</v>
      </c>
      <c r="E25" s="23">
        <v>3</v>
      </c>
      <c r="F25" s="18" t="s">
        <v>45</v>
      </c>
      <c r="G25" s="16" t="s">
        <v>1214</v>
      </c>
      <c r="H25" s="16" t="s">
        <v>193</v>
      </c>
    </row>
    <row r="26" spans="1:8" ht="30" customHeight="1" x14ac:dyDescent="0.3">
      <c r="A26" s="19" t="s">
        <v>1203</v>
      </c>
      <c r="B26" s="19" t="s">
        <v>1204</v>
      </c>
      <c r="C26" s="20" t="s">
        <v>1215</v>
      </c>
      <c r="D26" s="21" t="s">
        <v>1216</v>
      </c>
      <c r="E26" s="23">
        <v>3</v>
      </c>
      <c r="F26" s="18" t="s">
        <v>45</v>
      </c>
      <c r="G26" s="21" t="s">
        <v>1217</v>
      </c>
      <c r="H26" s="21" t="s">
        <v>1150</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1218</v>
      </c>
      <c r="B2" s="13" t="s">
        <v>1219</v>
      </c>
      <c r="C2" s="13"/>
      <c r="D2" s="13"/>
      <c r="E2" s="13"/>
      <c r="F2" s="13"/>
      <c r="G2" s="13"/>
      <c r="H2" s="13"/>
    </row>
    <row r="3" spans="1:8" ht="30" customHeight="1" x14ac:dyDescent="0.3">
      <c r="A3" s="14" t="s">
        <v>1218</v>
      </c>
      <c r="B3" s="14" t="s">
        <v>1219</v>
      </c>
      <c r="C3" s="15" t="s">
        <v>1220</v>
      </c>
      <c r="D3" s="16" t="s">
        <v>1221</v>
      </c>
      <c r="E3" s="17">
        <v>2</v>
      </c>
      <c r="F3" s="18" t="s">
        <v>45</v>
      </c>
      <c r="G3" s="16" t="s">
        <v>1222</v>
      </c>
      <c r="H3" s="16" t="s">
        <v>1223</v>
      </c>
    </row>
    <row r="4" spans="1:8" ht="18" customHeight="1" x14ac:dyDescent="0.3">
      <c r="A4" s="13" t="s">
        <v>1224</v>
      </c>
      <c r="B4" s="13" t="s">
        <v>1225</v>
      </c>
      <c r="C4" s="13"/>
      <c r="D4" s="13"/>
      <c r="E4" s="13"/>
      <c r="F4" s="13"/>
      <c r="G4" s="13"/>
      <c r="H4" s="13"/>
    </row>
    <row r="5" spans="1:8" ht="30" customHeight="1" x14ac:dyDescent="0.3">
      <c r="A5" s="14" t="s">
        <v>1224</v>
      </c>
      <c r="B5" s="14" t="s">
        <v>1225</v>
      </c>
      <c r="C5" s="15" t="s">
        <v>1226</v>
      </c>
      <c r="D5" s="16" t="s">
        <v>1227</v>
      </c>
      <c r="E5" s="17">
        <v>2</v>
      </c>
      <c r="F5" s="18" t="s">
        <v>66</v>
      </c>
      <c r="G5" s="16" t="s">
        <v>1228</v>
      </c>
      <c r="H5" s="16" t="s">
        <v>1229</v>
      </c>
    </row>
    <row r="6" spans="1:8" ht="30" customHeight="1" x14ac:dyDescent="0.3">
      <c r="A6" s="19" t="s">
        <v>1224</v>
      </c>
      <c r="B6" s="19" t="s">
        <v>1225</v>
      </c>
      <c r="C6" s="20" t="s">
        <v>1230</v>
      </c>
      <c r="D6" s="21" t="s">
        <v>1231</v>
      </c>
      <c r="E6" s="17">
        <v>2</v>
      </c>
      <c r="F6" s="18" t="s">
        <v>45</v>
      </c>
      <c r="G6" s="21" t="s">
        <v>1232</v>
      </c>
      <c r="H6" s="21" t="s">
        <v>1130</v>
      </c>
    </row>
    <row r="7" spans="1:8" ht="30" customHeight="1" x14ac:dyDescent="0.3">
      <c r="A7" s="14" t="s">
        <v>1224</v>
      </c>
      <c r="B7" s="14" t="s">
        <v>1225</v>
      </c>
      <c r="C7" s="15" t="s">
        <v>1233</v>
      </c>
      <c r="D7" s="16" t="s">
        <v>1234</v>
      </c>
      <c r="E7" s="17">
        <v>2</v>
      </c>
      <c r="F7" s="18" t="s">
        <v>45</v>
      </c>
      <c r="G7" s="16" t="s">
        <v>1235</v>
      </c>
      <c r="H7" s="16" t="s">
        <v>1130</v>
      </c>
    </row>
    <row r="8" spans="1:8" ht="30" customHeight="1" x14ac:dyDescent="0.3">
      <c r="A8" s="19" t="s">
        <v>1224</v>
      </c>
      <c r="B8" s="19" t="s">
        <v>1225</v>
      </c>
      <c r="C8" s="20" t="s">
        <v>1236</v>
      </c>
      <c r="D8" s="21" t="s">
        <v>1237</v>
      </c>
      <c r="E8" s="17">
        <v>2</v>
      </c>
      <c r="F8" s="18" t="s">
        <v>45</v>
      </c>
      <c r="G8" s="21" t="s">
        <v>1238</v>
      </c>
      <c r="H8" s="21" t="s">
        <v>1130</v>
      </c>
    </row>
    <row r="9" spans="1:8" ht="30" customHeight="1" x14ac:dyDescent="0.3">
      <c r="A9" s="14" t="s">
        <v>1224</v>
      </c>
      <c r="B9" s="14" t="s">
        <v>1225</v>
      </c>
      <c r="C9" s="15" t="s">
        <v>1239</v>
      </c>
      <c r="D9" s="16" t="s">
        <v>1240</v>
      </c>
      <c r="E9" s="17">
        <v>2</v>
      </c>
      <c r="F9" s="18" t="s">
        <v>66</v>
      </c>
      <c r="G9" s="16" t="s">
        <v>1241</v>
      </c>
      <c r="H9" s="16" t="s">
        <v>1242</v>
      </c>
    </row>
    <row r="10" spans="1:8" ht="18" customHeight="1" x14ac:dyDescent="0.3">
      <c r="A10" s="13" t="s">
        <v>1243</v>
      </c>
      <c r="B10" s="13" t="s">
        <v>1244</v>
      </c>
      <c r="C10" s="13"/>
      <c r="D10" s="13"/>
      <c r="E10" s="13"/>
      <c r="F10" s="13"/>
      <c r="G10" s="13"/>
      <c r="H10" s="13"/>
    </row>
    <row r="11" spans="1:8" ht="30" customHeight="1" x14ac:dyDescent="0.3">
      <c r="A11" s="14" t="s">
        <v>1243</v>
      </c>
      <c r="B11" s="14" t="s">
        <v>1244</v>
      </c>
      <c r="C11" s="15" t="s">
        <v>1245</v>
      </c>
      <c r="D11" s="16" t="s">
        <v>1246</v>
      </c>
      <c r="E11" s="17">
        <v>2</v>
      </c>
      <c r="F11" s="18" t="s">
        <v>66</v>
      </c>
      <c r="G11" s="16" t="s">
        <v>1247</v>
      </c>
      <c r="H11" s="16" t="s">
        <v>1130</v>
      </c>
    </row>
    <row r="12" spans="1:8" ht="30" customHeight="1" x14ac:dyDescent="0.3">
      <c r="A12" s="19" t="s">
        <v>1243</v>
      </c>
      <c r="B12" s="19" t="s">
        <v>1244</v>
      </c>
      <c r="C12" s="20" t="s">
        <v>1248</v>
      </c>
      <c r="D12" s="21" t="s">
        <v>1249</v>
      </c>
      <c r="E12" s="17">
        <v>2</v>
      </c>
      <c r="F12" s="18" t="s">
        <v>66</v>
      </c>
      <c r="G12" s="21" t="s">
        <v>1250</v>
      </c>
      <c r="H12" s="21" t="s">
        <v>1251</v>
      </c>
    </row>
    <row r="13" spans="1:8" ht="30" customHeight="1" x14ac:dyDescent="0.3">
      <c r="A13" s="14" t="s">
        <v>1243</v>
      </c>
      <c r="B13" s="14" t="s">
        <v>1244</v>
      </c>
      <c r="C13" s="15" t="s">
        <v>1252</v>
      </c>
      <c r="D13" s="16" t="s">
        <v>1253</v>
      </c>
      <c r="E13" s="17">
        <v>2</v>
      </c>
      <c r="F13" s="18" t="s">
        <v>45</v>
      </c>
      <c r="G13" s="16" t="s">
        <v>1254</v>
      </c>
      <c r="H13" s="16" t="s">
        <v>1130</v>
      </c>
    </row>
    <row r="14" spans="1:8" ht="30" customHeight="1" x14ac:dyDescent="0.3">
      <c r="A14" s="19" t="s">
        <v>1243</v>
      </c>
      <c r="B14" s="19" t="s">
        <v>1244</v>
      </c>
      <c r="C14" s="20" t="s">
        <v>1255</v>
      </c>
      <c r="D14" s="21" t="s">
        <v>1256</v>
      </c>
      <c r="E14" s="17">
        <v>2</v>
      </c>
      <c r="F14" s="18" t="s">
        <v>45</v>
      </c>
      <c r="G14" s="21" t="s">
        <v>1257</v>
      </c>
      <c r="H14" s="21" t="s">
        <v>1130</v>
      </c>
    </row>
    <row r="15" spans="1:8" ht="18" customHeight="1" x14ac:dyDescent="0.3">
      <c r="A15" s="13" t="s">
        <v>1258</v>
      </c>
      <c r="B15" s="13" t="s">
        <v>1259</v>
      </c>
      <c r="C15" s="13"/>
      <c r="D15" s="13"/>
      <c r="E15" s="13"/>
      <c r="F15" s="13"/>
      <c r="G15" s="13"/>
      <c r="H15" s="13"/>
    </row>
    <row r="16" spans="1:8" ht="30" customHeight="1" x14ac:dyDescent="0.3">
      <c r="A16" s="14" t="s">
        <v>1258</v>
      </c>
      <c r="B16" s="14" t="s">
        <v>1259</v>
      </c>
      <c r="C16" s="15" t="s">
        <v>1260</v>
      </c>
      <c r="D16" s="16" t="s">
        <v>1261</v>
      </c>
      <c r="E16" s="17">
        <v>2</v>
      </c>
      <c r="F16" s="18" t="s">
        <v>66</v>
      </c>
      <c r="G16" s="16" t="s">
        <v>1262</v>
      </c>
      <c r="H16" s="16" t="s">
        <v>1263</v>
      </c>
    </row>
    <row r="17" spans="1:8" ht="30" customHeight="1" x14ac:dyDescent="0.3">
      <c r="A17" s="19" t="s">
        <v>1258</v>
      </c>
      <c r="B17" s="19" t="s">
        <v>1259</v>
      </c>
      <c r="C17" s="20" t="s">
        <v>1264</v>
      </c>
      <c r="D17" s="21" t="s">
        <v>1265</v>
      </c>
      <c r="E17" s="17">
        <v>2</v>
      </c>
      <c r="F17" s="18" t="s">
        <v>66</v>
      </c>
      <c r="G17" s="21" t="s">
        <v>1266</v>
      </c>
      <c r="H17" s="21" t="s">
        <v>1263</v>
      </c>
    </row>
    <row r="18" spans="1:8" ht="30" customHeight="1" x14ac:dyDescent="0.3">
      <c r="A18" s="14" t="s">
        <v>1258</v>
      </c>
      <c r="B18" s="14" t="s">
        <v>1259</v>
      </c>
      <c r="C18" s="15" t="s">
        <v>1267</v>
      </c>
      <c r="D18" s="16" t="s">
        <v>1268</v>
      </c>
      <c r="E18" s="17">
        <v>2</v>
      </c>
      <c r="F18" s="18" t="s">
        <v>45</v>
      </c>
      <c r="G18" s="16" t="s">
        <v>1269</v>
      </c>
      <c r="H18" s="16" t="s">
        <v>1263</v>
      </c>
    </row>
    <row r="19" spans="1:8" ht="18" customHeight="1" x14ac:dyDescent="0.3">
      <c r="A19" s="13" t="s">
        <v>1270</v>
      </c>
      <c r="B19" s="13" t="s">
        <v>1271</v>
      </c>
      <c r="C19" s="13"/>
      <c r="D19" s="13"/>
      <c r="E19" s="13"/>
      <c r="F19" s="13"/>
      <c r="G19" s="13"/>
      <c r="H19" s="13"/>
    </row>
    <row r="20" spans="1:8" ht="30" customHeight="1" x14ac:dyDescent="0.3">
      <c r="A20" s="14" t="s">
        <v>1270</v>
      </c>
      <c r="B20" s="14" t="s">
        <v>1271</v>
      </c>
      <c r="C20" s="15" t="s">
        <v>1272</v>
      </c>
      <c r="D20" s="16" t="s">
        <v>1273</v>
      </c>
      <c r="E20" s="17">
        <v>2</v>
      </c>
      <c r="F20" s="18" t="s">
        <v>45</v>
      </c>
      <c r="G20" s="16" t="s">
        <v>1274</v>
      </c>
      <c r="H20" s="16" t="s">
        <v>485</v>
      </c>
    </row>
    <row r="21" spans="1:8" ht="30" customHeight="1" x14ac:dyDescent="0.3">
      <c r="A21" s="19" t="s">
        <v>1270</v>
      </c>
      <c r="B21" s="19" t="s">
        <v>1271</v>
      </c>
      <c r="C21" s="20" t="s">
        <v>1275</v>
      </c>
      <c r="D21" s="21" t="s">
        <v>1276</v>
      </c>
      <c r="E21" s="17">
        <v>2</v>
      </c>
      <c r="F21" s="18" t="s">
        <v>45</v>
      </c>
      <c r="G21" s="21" t="s">
        <v>1277</v>
      </c>
      <c r="H21" s="21" t="s">
        <v>1065</v>
      </c>
    </row>
    <row r="22" spans="1:8" ht="30" customHeight="1" x14ac:dyDescent="0.3">
      <c r="A22" s="14" t="s">
        <v>1270</v>
      </c>
      <c r="B22" s="14" t="s">
        <v>1271</v>
      </c>
      <c r="C22" s="15" t="s">
        <v>1278</v>
      </c>
      <c r="D22" s="16" t="s">
        <v>1279</v>
      </c>
      <c r="E22" s="17">
        <v>2</v>
      </c>
      <c r="F22" s="18" t="s">
        <v>45</v>
      </c>
      <c r="G22" s="16" t="s">
        <v>1280</v>
      </c>
      <c r="H22" s="16" t="s">
        <v>1065</v>
      </c>
    </row>
    <row r="23" spans="1:8" ht="30" customHeight="1" x14ac:dyDescent="0.3">
      <c r="A23" s="19" t="s">
        <v>1270</v>
      </c>
      <c r="B23" s="19" t="s">
        <v>1271</v>
      </c>
      <c r="C23" s="20" t="s">
        <v>1281</v>
      </c>
      <c r="D23" s="21" t="s">
        <v>1282</v>
      </c>
      <c r="E23" s="23">
        <v>3</v>
      </c>
      <c r="F23" s="18" t="s">
        <v>45</v>
      </c>
      <c r="G23" s="21" t="s">
        <v>1283</v>
      </c>
      <c r="H23" s="21" t="s">
        <v>1065</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1284</v>
      </c>
      <c r="B2" s="13" t="s">
        <v>1285</v>
      </c>
      <c r="C2" s="13"/>
      <c r="D2" s="13"/>
      <c r="E2" s="13"/>
      <c r="F2" s="13"/>
      <c r="G2" s="13"/>
      <c r="H2" s="13"/>
    </row>
    <row r="3" spans="1:8" ht="30" customHeight="1" x14ac:dyDescent="0.3">
      <c r="A3" s="14" t="s">
        <v>1284</v>
      </c>
      <c r="B3" s="14" t="s">
        <v>1285</v>
      </c>
      <c r="C3" s="15" t="s">
        <v>1286</v>
      </c>
      <c r="D3" s="16" t="s">
        <v>1287</v>
      </c>
      <c r="E3" s="17">
        <v>2</v>
      </c>
      <c r="F3" s="18" t="s">
        <v>45</v>
      </c>
      <c r="G3" s="16" t="s">
        <v>1288</v>
      </c>
      <c r="H3" s="16" t="s">
        <v>1289</v>
      </c>
    </row>
    <row r="4" spans="1:8" ht="30" customHeight="1" x14ac:dyDescent="0.3">
      <c r="A4" s="19" t="s">
        <v>1284</v>
      </c>
      <c r="B4" s="19" t="s">
        <v>1285</v>
      </c>
      <c r="C4" s="20" t="s">
        <v>1290</v>
      </c>
      <c r="D4" s="21" t="s">
        <v>1291</v>
      </c>
      <c r="E4" s="23">
        <v>3</v>
      </c>
      <c r="F4" s="18" t="s">
        <v>45</v>
      </c>
      <c r="G4" s="21" t="s">
        <v>1292</v>
      </c>
      <c r="H4" s="21" t="s">
        <v>1065</v>
      </c>
    </row>
    <row r="5" spans="1:8" ht="18" customHeight="1" x14ac:dyDescent="0.3">
      <c r="A5" s="13" t="s">
        <v>1293</v>
      </c>
      <c r="B5" s="13" t="s">
        <v>1294</v>
      </c>
      <c r="C5" s="13"/>
      <c r="D5" s="13"/>
      <c r="E5" s="13"/>
      <c r="F5" s="13"/>
      <c r="G5" s="13"/>
      <c r="H5" s="13"/>
    </row>
    <row r="6" spans="1:8" ht="30" customHeight="1" x14ac:dyDescent="0.3">
      <c r="A6" s="14" t="s">
        <v>1293</v>
      </c>
      <c r="B6" s="14" t="s">
        <v>1294</v>
      </c>
      <c r="C6" s="15" t="s">
        <v>1295</v>
      </c>
      <c r="D6" s="16" t="s">
        <v>1296</v>
      </c>
      <c r="E6" s="17">
        <v>2</v>
      </c>
      <c r="F6" s="18" t="s">
        <v>45</v>
      </c>
      <c r="G6" s="16" t="s">
        <v>1297</v>
      </c>
      <c r="H6" s="16" t="s">
        <v>1298</v>
      </c>
    </row>
    <row r="7" spans="1:8" ht="30" customHeight="1" x14ac:dyDescent="0.3">
      <c r="A7" s="19" t="s">
        <v>1293</v>
      </c>
      <c r="B7" s="19" t="s">
        <v>1294</v>
      </c>
      <c r="C7" s="20" t="s">
        <v>1299</v>
      </c>
      <c r="D7" s="21" t="s">
        <v>1300</v>
      </c>
      <c r="E7" s="17">
        <v>2</v>
      </c>
      <c r="F7" s="18" t="s">
        <v>45</v>
      </c>
      <c r="G7" s="21" t="s">
        <v>1301</v>
      </c>
      <c r="H7" s="21" t="s">
        <v>1302</v>
      </c>
    </row>
    <row r="8" spans="1:8" ht="30" customHeight="1" x14ac:dyDescent="0.3">
      <c r="A8" s="14" t="s">
        <v>1293</v>
      </c>
      <c r="B8" s="14" t="s">
        <v>1294</v>
      </c>
      <c r="C8" s="15" t="s">
        <v>1303</v>
      </c>
      <c r="D8" s="16" t="s">
        <v>1304</v>
      </c>
      <c r="E8" s="17">
        <v>2</v>
      </c>
      <c r="F8" s="18" t="s">
        <v>45</v>
      </c>
      <c r="G8" s="16" t="s">
        <v>1305</v>
      </c>
      <c r="H8" s="16" t="s">
        <v>1306</v>
      </c>
    </row>
    <row r="9" spans="1:8" ht="30" customHeight="1" x14ac:dyDescent="0.3">
      <c r="A9" s="19" t="s">
        <v>1293</v>
      </c>
      <c r="B9" s="19" t="s">
        <v>1294</v>
      </c>
      <c r="C9" s="20" t="s">
        <v>1307</v>
      </c>
      <c r="D9" s="21" t="s">
        <v>1308</v>
      </c>
      <c r="E9" s="17">
        <v>2</v>
      </c>
      <c r="F9" s="18" t="s">
        <v>45</v>
      </c>
      <c r="G9" s="21" t="s">
        <v>1309</v>
      </c>
      <c r="H9" s="21" t="s">
        <v>1065</v>
      </c>
    </row>
    <row r="10" spans="1:8" ht="30" customHeight="1" x14ac:dyDescent="0.3">
      <c r="A10" s="14" t="s">
        <v>1293</v>
      </c>
      <c r="B10" s="14" t="s">
        <v>1294</v>
      </c>
      <c r="C10" s="15" t="s">
        <v>1310</v>
      </c>
      <c r="D10" s="16" t="s">
        <v>1311</v>
      </c>
      <c r="E10" s="23">
        <v>3</v>
      </c>
      <c r="F10" s="18" t="s">
        <v>45</v>
      </c>
      <c r="G10" s="16" t="s">
        <v>1312</v>
      </c>
      <c r="H10" s="16" t="s">
        <v>1065</v>
      </c>
    </row>
    <row r="11" spans="1:8" ht="30" customHeight="1" x14ac:dyDescent="0.3">
      <c r="A11" s="19" t="s">
        <v>1293</v>
      </c>
      <c r="B11" s="19" t="s">
        <v>1294</v>
      </c>
      <c r="C11" s="20" t="s">
        <v>1313</v>
      </c>
      <c r="D11" s="21" t="s">
        <v>1314</v>
      </c>
      <c r="E11" s="23">
        <v>3</v>
      </c>
      <c r="F11" s="18" t="s">
        <v>23</v>
      </c>
      <c r="G11" s="21" t="s">
        <v>1315</v>
      </c>
      <c r="H11" s="21" t="s">
        <v>23</v>
      </c>
    </row>
    <row r="12" spans="1:8" ht="30" customHeight="1" x14ac:dyDescent="0.3">
      <c r="A12" s="14" t="s">
        <v>1293</v>
      </c>
      <c r="B12" s="14" t="s">
        <v>1294</v>
      </c>
      <c r="C12" s="15" t="s">
        <v>1316</v>
      </c>
      <c r="D12" s="16" t="s">
        <v>1317</v>
      </c>
      <c r="E12" s="23">
        <v>3</v>
      </c>
      <c r="F12" s="18" t="s">
        <v>45</v>
      </c>
      <c r="G12" s="16" t="s">
        <v>1318</v>
      </c>
      <c r="H12" s="16" t="s">
        <v>1065</v>
      </c>
    </row>
    <row r="13" spans="1:8" ht="30" customHeight="1" x14ac:dyDescent="0.3">
      <c r="A13" s="19" t="s">
        <v>1293</v>
      </c>
      <c r="B13" s="19" t="s">
        <v>1294</v>
      </c>
      <c r="C13" s="20" t="s">
        <v>1319</v>
      </c>
      <c r="D13" s="21" t="s">
        <v>1320</v>
      </c>
      <c r="E13" s="23">
        <v>3</v>
      </c>
      <c r="F13" s="18" t="s">
        <v>45</v>
      </c>
      <c r="G13" s="21" t="s">
        <v>1321</v>
      </c>
      <c r="H13" s="21" t="s">
        <v>1302</v>
      </c>
    </row>
    <row r="14" spans="1:8" ht="18" customHeight="1" x14ac:dyDescent="0.3">
      <c r="A14" s="13" t="s">
        <v>1322</v>
      </c>
      <c r="B14" s="13" t="s">
        <v>1323</v>
      </c>
      <c r="C14" s="13"/>
      <c r="D14" s="13"/>
      <c r="E14" s="13"/>
      <c r="F14" s="13"/>
      <c r="G14" s="13"/>
      <c r="H14" s="13"/>
    </row>
    <row r="15" spans="1:8" ht="30" customHeight="1" x14ac:dyDescent="0.3">
      <c r="A15" s="14" t="s">
        <v>1322</v>
      </c>
      <c r="B15" s="14" t="s">
        <v>1323</v>
      </c>
      <c r="C15" s="15" t="s">
        <v>1324</v>
      </c>
      <c r="D15" s="16" t="s">
        <v>1325</v>
      </c>
      <c r="E15" s="17">
        <v>2</v>
      </c>
      <c r="F15" s="18" t="s">
        <v>45</v>
      </c>
      <c r="G15" s="16" t="s">
        <v>1326</v>
      </c>
      <c r="H15" s="16" t="s">
        <v>1065</v>
      </c>
    </row>
    <row r="16" spans="1:8" ht="30" customHeight="1" x14ac:dyDescent="0.3">
      <c r="A16" s="19" t="s">
        <v>1322</v>
      </c>
      <c r="B16" s="19" t="s">
        <v>1323</v>
      </c>
      <c r="C16" s="20" t="s">
        <v>1327</v>
      </c>
      <c r="D16" s="21" t="s">
        <v>1328</v>
      </c>
      <c r="E16" s="17">
        <v>2</v>
      </c>
      <c r="F16" s="18" t="s">
        <v>45</v>
      </c>
      <c r="G16" s="21" t="s">
        <v>1329</v>
      </c>
      <c r="H16" s="21" t="s">
        <v>352</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Cândido Zoio</cp:lastModifiedBy>
  <cp:revision>3</cp:revision>
  <dcterms:created xsi:type="dcterms:W3CDTF">2026-03-04T10:14:28Z</dcterms:created>
  <dcterms:modified xsi:type="dcterms:W3CDTF">2026-04-20T22:13:45Z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