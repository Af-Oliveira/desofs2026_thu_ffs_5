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rmotafreitas/Documents/www/DESOFS/desofs2026_thu_ffs_5/Deliverables/Phase2/Sprint2/"/>
    </mc:Choice>
  </mc:AlternateContent>
  <xr:revisionPtr revIDLastSave="0" documentId="11_83D00BBB15710C30471C289970618CD10635480E" xr6:coauthVersionLast="47" xr6:coauthVersionMax="47" xr10:uidLastSave="{00000000-0000-0000-0000-000000000000}"/>
  <bookViews>
    <workbookView xWindow="0" yWindow="600" windowWidth="51200" windowHeight="26960" tabRatio="500"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3" i="1" l="1"/>
  <c r="F23" i="1"/>
  <c r="C23" i="1"/>
  <c r="B23" i="1"/>
  <c r="L22" i="1"/>
  <c r="M22" i="1" s="1"/>
  <c r="J22" i="1"/>
  <c r="K22" i="1" s="1"/>
  <c r="H22" i="1"/>
  <c r="G22" i="1"/>
  <c r="L21" i="1"/>
  <c r="L23" i="1" s="1"/>
  <c r="J21" i="1"/>
  <c r="K21" i="1" s="1"/>
  <c r="G21" i="1"/>
  <c r="H21" i="1" s="1"/>
  <c r="L20" i="1"/>
  <c r="M20" i="1" s="1"/>
  <c r="J20" i="1"/>
  <c r="K20" i="1" s="1"/>
  <c r="G20" i="1"/>
  <c r="H20" i="1" s="1"/>
  <c r="D20" i="1"/>
  <c r="E20" i="1" s="1"/>
  <c r="M19" i="1"/>
  <c r="L19" i="1"/>
  <c r="J19" i="1"/>
  <c r="K19" i="1" s="1"/>
  <c r="H19" i="1"/>
  <c r="G19" i="1"/>
  <c r="E19" i="1"/>
  <c r="D19" i="1"/>
  <c r="L18" i="1"/>
  <c r="M18" i="1" s="1"/>
  <c r="K18" i="1"/>
  <c r="J18" i="1"/>
  <c r="G18" i="1"/>
  <c r="H18" i="1" s="1"/>
  <c r="D18" i="1"/>
  <c r="E18" i="1" s="1"/>
  <c r="L17" i="1"/>
  <c r="M17" i="1" s="1"/>
  <c r="J17" i="1"/>
  <c r="K17" i="1" s="1"/>
  <c r="G17" i="1"/>
  <c r="H17" i="1" s="1"/>
  <c r="E17" i="1"/>
  <c r="D17" i="1"/>
  <c r="L16" i="1"/>
  <c r="M16" i="1" s="1"/>
  <c r="K16" i="1"/>
  <c r="J16" i="1"/>
  <c r="H16" i="1"/>
  <c r="G16" i="1"/>
  <c r="D16" i="1"/>
  <c r="E16" i="1" s="1"/>
  <c r="M15" i="1"/>
  <c r="L15" i="1"/>
  <c r="J15" i="1"/>
  <c r="K15" i="1" s="1"/>
  <c r="G15" i="1"/>
  <c r="H15" i="1" s="1"/>
  <c r="D15" i="1"/>
  <c r="E15" i="1" s="1"/>
  <c r="L14" i="1"/>
  <c r="M14" i="1" s="1"/>
  <c r="G14" i="1"/>
  <c r="H14" i="1" s="1"/>
  <c r="E14" i="1"/>
  <c r="D14" i="1"/>
  <c r="L13" i="1"/>
  <c r="M13" i="1" s="1"/>
  <c r="J13" i="1"/>
  <c r="K13" i="1" s="1"/>
  <c r="H13" i="1"/>
  <c r="G13" i="1"/>
  <c r="D13" i="1"/>
  <c r="E13" i="1" s="1"/>
  <c r="M12" i="1"/>
  <c r="L12" i="1"/>
  <c r="J12" i="1"/>
  <c r="K12" i="1" s="1"/>
  <c r="G12" i="1"/>
  <c r="H12" i="1" s="1"/>
  <c r="D12" i="1"/>
  <c r="E12" i="1" s="1"/>
  <c r="L11" i="1"/>
  <c r="M11" i="1" s="1"/>
  <c r="J11" i="1"/>
  <c r="K11" i="1" s="1"/>
  <c r="H11" i="1"/>
  <c r="G11" i="1"/>
  <c r="D11" i="1"/>
  <c r="E11" i="1" s="1"/>
  <c r="L10" i="1"/>
  <c r="M10" i="1" s="1"/>
  <c r="K10" i="1"/>
  <c r="J10" i="1"/>
  <c r="G10" i="1"/>
  <c r="H10" i="1" s="1"/>
  <c r="E10" i="1"/>
  <c r="D10" i="1"/>
  <c r="L9" i="1"/>
  <c r="M9" i="1" s="1"/>
  <c r="J9" i="1"/>
  <c r="K9" i="1" s="1"/>
  <c r="G9" i="1"/>
  <c r="H9" i="1" s="1"/>
  <c r="D9" i="1"/>
  <c r="E9" i="1" s="1"/>
  <c r="L8" i="1"/>
  <c r="M8" i="1" s="1"/>
  <c r="K8" i="1"/>
  <c r="J8" i="1"/>
  <c r="G8" i="1"/>
  <c r="H8" i="1" s="1"/>
  <c r="D8" i="1"/>
  <c r="E8" i="1" s="1"/>
  <c r="M7" i="1"/>
  <c r="L7" i="1"/>
  <c r="J7" i="1"/>
  <c r="K7" i="1" s="1"/>
  <c r="H7" i="1"/>
  <c r="G7" i="1"/>
  <c r="D7" i="1"/>
  <c r="E7" i="1" s="1"/>
  <c r="L6" i="1"/>
  <c r="M6" i="1" s="1"/>
  <c r="J6" i="1"/>
  <c r="K6" i="1" s="1"/>
  <c r="G6" i="1"/>
  <c r="G23" i="1" s="1"/>
  <c r="D6" i="1"/>
  <c r="E6" i="1" s="1"/>
  <c r="E23" i="1" l="1"/>
  <c r="K23" i="1"/>
  <c r="D23" i="1"/>
  <c r="M21" i="1"/>
  <c r="M23" i="1" s="1"/>
  <c r="H6" i="1"/>
  <c r="H23" i="1" s="1"/>
  <c r="J23" i="1"/>
</calcChain>
</file>

<file path=xl/sharedStrings.xml><?xml version="1.0" encoding="utf-8"?>
<sst xmlns="http://schemas.openxmlformats.org/spreadsheetml/2006/main" count="2749" uniqueCount="1468">
  <si>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</si>
  <si>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</si>
  <si>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</si>
  <si>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</si>
  <si>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</si>
  <si>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</si>
  <si>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</si>
  <si>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</si>
  <si>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</si>
  <si>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</si>
  <si>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</si>
  <si>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</si>
  <si>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Compliant</t>
  </si>
  <si>
    <t>Input decoded once at API boundary via Jackson deserialization before Bean Validation.</t>
  </si>
  <si>
    <t>api/dto/*.java DTOs; SR-24,SR-25,SR-28,SR-29</t>
  </si>
  <si>
    <t>V1.1.2</t>
  </si>
  <si>
    <t>Verify that the application performs output encoding and escaping either as a final step before being used by the interpreter for which it is intended or by the interpreter itself.</t>
  </si>
  <si>
    <t>JSON serialized by Jackson with consistent config; fail-on-unknown-properties=true in application.properties:45.</t>
  </si>
  <si>
    <t>application.properties:45; SR-16</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</si>
  <si>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</si>
  <si>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</si>
  <si>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</si>
  <si>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</si>
  <si>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Not Applicable</t>
  </si>
  <si>
    <t>REST API returns JSON only; no HTML/XML rendering. No browser frontend in this repo.</t>
  </si>
  <si>
    <t>Not applicable — JSON-only REST backend</t>
  </si>
  <si>
    <t>V1.2.2</t>
  </si>
  <si>
    <t>Verify that when dynamically building URLs, untrusted data is encoded according to its context (e.g., URL encoding or base64url encoding for query or path parameters). Ensure that only safe URL protocols are permitted (e.g., disallow javascript: or data:).</t>
  </si>
  <si>
    <t>PathValidatorImpl.java:13-25 restricts file ops to sandbox via toRealPath()+startsWith.</t>
  </si>
  <si>
    <t>PathValidatorImpl.java:13-25; SR-26</t>
  </si>
  <si>
    <t>V1.2.3</t>
  </si>
  <si>
    <t>Verify that output encoding or escaping is used when dynamically building JavaScript content (including JSON), to avoid changing the message or document structure (to avoid JavaScript and JSON injection).</t>
  </si>
  <si>
    <t>No client-side JavaScript generation. REST API backend only.</t>
  </si>
  <si>
    <t>Not applicable</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</si>
  <si>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</si>
  <si>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</si>
  <si>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All DB access via Spring Data JPA parameterized queries. Semgrep rule vendnet-native-query-string-concatenation flags native-query string concat.</t>
  </si>
  <si>
    <t>infrastructure/persistence/Jpa*.java; .semgrep/vendnet-security.yml; AbuseCaseRegressionTest; SR-09</t>
  </si>
  <si>
    <t>V1.2.5</t>
  </si>
  <si>
    <t>Verify that the application protects against OS command injection and that operating system calls use parameterized OS queries or use contextual command line output encoding.</t>
  </si>
  <si>
    <t>BackupServiceImpl uses ProcessBuilder with array init (no shell). FileStorageServiceImpl:46-53 validates path+symlinks. PathValidatorImpl sandbox for all FS ops.</t>
  </si>
  <si>
    <t>BackupServiceImpl.java; FileStorageServiceImpl.java:46-53; PathValidatorImpl.java; AbuseCaseRegressionTest; SR-09</t>
  </si>
  <si>
    <t>V1.2.6</t>
  </si>
  <si>
    <t>Verify that the application protects against LDAP injection vulnerabilities, or that specific security controls to prevent LDAP injection have been implemented.</t>
  </si>
  <si>
    <t>No LDAP usage.</t>
  </si>
  <si>
    <t>V1.2.7</t>
  </si>
  <si>
    <t>Verify that the application is protected against XPath injection attacks by using query parameterization or precompiled queries.</t>
  </si>
  <si>
    <t>No XPath usage.</t>
  </si>
  <si>
    <t>V1.2.8</t>
  </si>
  <si>
    <t>Verify that LaTeX processors are configured securely (such as not using the "--shell-escape" flag) and an allowlist of commands is used to prevent LaTeX injection attacks.</t>
  </si>
  <si>
    <t>No LaTeX processing.</t>
  </si>
  <si>
    <t>V1.2.9</t>
  </si>
  <si>
    <t>Verify that the application escapes special characters in regular expressions (typically using a backslash) to prevent them from being misinterpreted as metacharacters.</t>
  </si>
  <si>
    <t>PathValidatorImpl uses simple character class allowlist patterns. No user-controlled regex metacharacters.</t>
  </si>
  <si>
    <t>PathValidatorImpl.java; SR-26</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</si>
  <si>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</si>
  <si>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</si>
  <si>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No CSV export.</t>
  </si>
  <si>
    <t>V1.3</t>
  </si>
  <si>
    <t>Sanitization</t>
  </si>
  <si>
    <t>V1.3.1</t>
  </si>
  <si>
    <t>Verify that all untrusted HTML input from WYSIWYG editors or similar is sanitized using a well-known and secure HTML sanitization library or framework feature.</t>
  </si>
  <si>
    <t>No WYSIWYG HTML input in REST API.</t>
  </si>
  <si>
    <t>V1.3.2</t>
  </si>
  <si>
    <t>Verify that the application avoids the use of eval() or other dynamic code execution features such as Spring Expression Language (SpEL). Where there is no alternative, any user input being included must be sanitized before being executed.</t>
  </si>
  <si>
    <t>No eval(), SpEL, or dynamic code execution anywhere. Verified by Semgrep scan.</t>
  </si>
  <si>
    <t>Semgrep scan confirms no eval/SpEL patterns</t>
  </si>
  <si>
    <t>V1.3.3</t>
  </si>
  <si>
    <t>Verify that data being passed to a potentially dangerous context is sanitized beforehand to enforce safety measures, such as only allowing characters which are safe for this context and trimming input which is too long.</t>
  </si>
  <si>
    <t>All input validated via Bean Validation on 11 controller methods (@Valid,@NotBlank,@Min,@Max,@Size,@Pattern,@Email,@DecimalMin,@DecimalMax).</t>
  </si>
  <si>
    <t>11 @Valid annotations across controllers; SR-28,SR-30</t>
  </si>
  <si>
    <t>V1.3.4</t>
  </si>
  <si>
    <t>Verify that user-supplied Scalable Vector Graphics (SVG) scriptable content is validated or sanitized to contain only tags and attributes (such as draw graphics) that are safe for the application, e.g., do not contain scripts and foreignObject.</t>
  </si>
  <si>
    <t>No SVG processing.</t>
  </si>
  <si>
    <t>V1.3.5</t>
  </si>
  <si>
    <t>Verify that the application sanitizes or disables user-supplied scriptable or expression template language content, such as Markdown, CSS or XSL stylesheets, BBCode, or similar.</t>
  </si>
  <si>
    <t>No template language processing (Markdown, CSS, BBCode).</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</si>
  <si>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</si>
  <si>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</si>
  <si>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Outbound HTTP requests restricted to configured payment.gateway.url only. No dynamic URLs from user input.</t>
  </si>
  <si>
    <t>application.properties payment.gateway.url; SR-26</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</si>
  <si>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</si>
  <si>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</si>
  <si>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No dynamic template creation anywhere in codebase.</t>
  </si>
  <si>
    <t>Verified by code review</t>
  </si>
  <si>
    <t>V1.3.8</t>
  </si>
  <si>
    <t>Verify that the application appropriately sanitizes untrusted input before use in Java Naming and Directory Interface (JNDI) queries and that JNDI is configured securely to prevent JNDI injection attacks.</t>
  </si>
  <si>
    <t>No JNDI usage.</t>
  </si>
  <si>
    <t>V1.3.9</t>
  </si>
  <si>
    <t>Verify that the application sanitizes content before it is sent to memcache to prevent injection attacks.</t>
  </si>
  <si>
    <t>No memcache usage.</t>
  </si>
  <si>
    <t>V1.3.10</t>
  </si>
  <si>
    <t>Verify that format strings which might resolve in an unexpected or malicious way when used are sanitized before being processed.</t>
  </si>
  <si>
    <t>Java String.format() used only with static format strings. No user-controlled format string paths.</t>
  </si>
  <si>
    <t>Verified by Semgrep scan</t>
  </si>
  <si>
    <t>V1.3.11</t>
  </si>
  <si>
    <t>Verify that the application sanitizes user input before passing to mail systems to protect against SMTP or IMAP injection.</t>
  </si>
  <si>
    <t>No SMTP/IMAP mail system integration.</t>
  </si>
  <si>
    <t>V1.3.12</t>
  </si>
  <si>
    <t>Verify that regular expressions are free from elements causing exponential backtracking, and ensure untrusted input is sanitized to mitigate ReDoS or Runaway Regex attacks.</t>
  </si>
  <si>
    <t>Not Started</t>
  </si>
  <si>
    <t>No ReDoS testing performed. Current regex patterns are simple (low risk), but no formal verification.</t>
  </si>
  <si>
    <t>Risk: future regex additions. Improvement: add ReDoS test case. SR-26</t>
  </si>
  <si>
    <t>V1.4</t>
  </si>
  <si>
    <t>Memory, String, and Unmanaged Code</t>
  </si>
  <si>
    <t>V1.4.1</t>
  </si>
  <si>
    <t>Verify that the application uses memory-safe string, safer memory copy and pointer arithmetic to detect or prevent stack, buffer, or heap overflows.</t>
  </si>
  <si>
    <t>Java JVM provides intrinsic memory safety. No native pointer arithmetic.</t>
  </si>
  <si>
    <t>JVM managed memory — inherent to Java platform</t>
  </si>
  <si>
    <t>V1.4.2</t>
  </si>
  <si>
    <t>Verify that sign, range, and input validation techniques are used to prevent integer overflows.</t>
  </si>
  <si>
    <t>@Min,@Max,@Positive on DTO numeric fields prevents invalid ranges. MachineTelemetryRequest: @DecimalMin(-40) @DecimalMax(80).</t>
  </si>
  <si>
    <t>DTO validation annotations; SR-25,SR-28</t>
  </si>
  <si>
    <t>V1.4.3</t>
  </si>
  <si>
    <t>Verify that dynamically allocated memory and resources are released, and that references or pointers to freed memory are removed or set to null to prevent dangling pointers and use-after-free vulnerabilities.</t>
  </si>
  <si>
    <t>JVM GC + Spring @PreDestroy lifecycle + try-with-resources for all I/O operations (FileStorageServiceImpl, BackupServiceImpl).</t>
  </si>
  <si>
    <t>JVM GC; Spring Bean lifecycle; try-with-resources in FS/BU services</t>
  </si>
  <si>
    <t>V1.5</t>
  </si>
  <si>
    <t>Safe Deserialization</t>
  </si>
  <si>
    <t>V1.5.1</t>
  </si>
  <si>
    <t>Verify that the application configures XML parsers to use a restrictive configuration and that unsafe features such as resolving external entities are disabled to prevent XML eXternal Entity (XXE) attacks.</t>
  </si>
  <si>
    <t>No XML parsing. Only JSON via Jackson.</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</si>
  <si>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</si>
  <si>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</si>
  <si>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Jackson with fail-on-unknown-properties=true (application.properties:45). No polymorphic deserialization of untrusted types.</t>
  </si>
  <si>
    <t>application.properties:45; SR-28</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</si>
  <si>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</si>
  <si>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</si>
  <si>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Single JSON parser (Jackson) with consistent config across all endpoints.</t>
  </si>
  <si>
    <t>pom.xml Jackson dependency; consistent ObjectMapper</t>
  </si>
  <si>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</si>
  <si>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</si>
  <si>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</si>
  <si>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</si>
  <si>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</si>
  <si>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</si>
  <si>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</si>
  <si>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</si>
  <si>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</si>
  <si>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</si>
  <si>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</si>
  <si>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</si>
  <si>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</si>
  <si>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</si>
  <si>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</si>
  <si>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</si>
  <si>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</si>
  <si>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</si>
  <si>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</si>
  <si>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</si>
  <si>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</si>
  <si>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</si>
  <si>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</si>
  <si>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</si>
  <si>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</si>
  <si>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</si>
  <si>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</si>
  <si>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</si>
  <si>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</si>
  <si>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</si>
  <si>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</si>
  <si>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</si>
  <si>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</si>
  <si>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</si>
  <si>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</si>
  <si>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</si>
  <si>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</si>
  <si>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Input validation rules fully documented in Phase 1 SR-24 to SR-31.</t>
  </si>
  <si>
    <t>08_Requirements.md §8.3.4; SR-24 to SR-31</t>
  </si>
  <si>
    <t>V2.1.2</t>
  </si>
  <si>
    <t>Verify that the application's documentation defines how to validate the logical and contextual consistency of combined data items, such as checking that suburb and ZIP code match.</t>
  </si>
  <si>
    <t>Business logic validation documented: SaleService validates product+machine+slot+quantity coherence.</t>
  </si>
  <si>
    <t>SaleService.java; SR-25</t>
  </si>
  <si>
    <t>V2.1.3</t>
  </si>
  <si>
    <t>Verify that expectations for business logic limits and validations are documented, including both per-user and globally across the application.</t>
  </si>
  <si>
    <t>Business limits documented in NFRs (NFR-01 to NFR-15) and SRs (SR-01 to SR-46).</t>
  </si>
  <si>
    <t>08_Requirements.md §8.1,§8.2</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</si>
  <si>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</si>
  <si>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</si>
  <si>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</si>
  <si>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</si>
  <si>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Strict Jackson deserialization + Bean Validation on all DTOs + PathValidatorImpl allowlist. 11 @Valid annotations.</t>
  </si>
  <si>
    <t>application.properties:45; 11 @Valid controllers; SR-24 to SR-31</t>
  </si>
  <si>
    <t>V2.2.2</t>
  </si>
  <si>
    <t>Verify that the application is designed to enforce input validation at a trusted service layer. While client-side validation improves usability and should be encouraged, it must not be relied upon as a security control.</t>
  </si>
  <si>
    <t>All validation enforced server-side via Spring Boot. No client-side-only checks exist.</t>
  </si>
  <si>
    <t>@Valid on all @RequestBody; SR-24,SR-25</t>
  </si>
  <si>
    <t>V2.2.3</t>
  </si>
  <si>
    <t>Verify that the application ensures that combinations of related data items are reasonable according to the pre-defined rules.</t>
  </si>
  <si>
    <t>**FACT-CHECK CORRECTED:** SaleService validates product+machine+slot+quantity. Slot enforces CurrentQuantity&lt;=SlotCapacity via programmatic checks in addStock()/reserveUnit() methods (no Bean Validation annotations on entity).</t>
  </si>
  <si>
    <t>SaleService.java; Slot.java addStock(); SR-15,SR-25</t>
  </si>
  <si>
    <t>V2.3</t>
  </si>
  <si>
    <t>Business Logic Security</t>
  </si>
  <si>
    <t>V2.3.1</t>
  </si>
  <si>
    <t>Verify that the application will only process business logic flows for the same user in the expected sequential step order and without skipping steps.</t>
  </si>
  <si>
    <t>Purchase flow not tracked as sequential state machine. No step-order enforcement.</t>
  </si>
  <si>
    <t>Risk: step-skipping. Improvement: OrderStatus state machine in Sale aggregate</t>
  </si>
  <si>
    <t>V2.3.2</t>
  </si>
  <si>
    <t>Verify that business logic limits are implemented per the application's documentation to avoid business logic flaws being exploited.</t>
  </si>
  <si>
    <t>**FACT-CHECK CORRECTED:** Stock limits enforced programmatically via addStock()/reserveUnit() in Slot.java (no @Min/@Max annotations on entity). Price resolved server-side from Product.price; client-supplied unitPrice ignored.</t>
  </si>
  <si>
    <t>SaleService.java server-side price; Slot.java; SR-24,SR-25</t>
  </si>
  <si>
    <t>V2.3.3</t>
  </si>
  <si>
    <t>Verify that transactions are being used at the business logic level such that either a business logic operation succeeds in its entirety or it is rolled back to the previous correct state.</t>
  </si>
  <si>
    <t>@Transactional on all services. MySQL READ_COMMITTED. ACID compliance.</t>
  </si>
  <si>
    <t>SaleService.java @Transactional; SR-15</t>
  </si>
  <si>
    <t>V2.3.4</t>
  </si>
  <si>
    <t>Verify that business logic level locking mechanisms are used to ensure that limited quantity resources (such as theater seats or delivery slots) cannot be double-booked by manipulating the application's logic.</t>
  </si>
  <si>
    <t>JpaSlotRepository: 3 methods @Lock(PESSIMISTIC_WRITE) at lines 20,24,28. findByMachineIdAndProductId() (line 24, @Lock) used in SaleService.java:141. Note: lockSlotsForPurchase() (line 28, also @Lock) is defined but not currently called.</t>
  </si>
  <si>
    <t>JpaSlotRepository.java:20,24,28; SaleService.java:141; SR-15</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</si>
  <si>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</si>
  <si>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</si>
  <si>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No high-value multi-user approval flows in vending machine domain.</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</si>
  <si>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</si>
  <si>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</si>
  <si>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</si>
  <si>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</si>
  <si>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In Progress</t>
  </si>
  <si>
    <t>Account lockout (5 attempts/15min, locked 30min) on auth. Request size limits via Tomcat. Pagination limits. Telemetry rate-limited (2 req/min). BUT: login, register, purchase endpoints have NO general rate limiting.</t>
  </si>
  <si>
    <t>User.java:28-30 lockout; TelemetryService.java:95-110. Gap: no rate limiting on auth/purchase. SR-07,SR-30,SR-31</t>
  </si>
  <si>
    <t>V2.4.2</t>
  </si>
  <si>
    <t>Verify that business logic flows require realistic human timing, preventing excessively rapid transaction submissions.</t>
  </si>
  <si>
    <t>No controls enforcing human-like interaction timing.</t>
  </si>
  <si>
    <t>Risk: automated tools at machine speed. Improvement: per-endpoint min interval</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</si>
  <si>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</si>
  <si>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</si>
  <si>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</si>
  <si>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</si>
  <si>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Security features expected from browser consumers not formally documented.</t>
  </si>
  <si>
    <t>Improvement: document required browser features in API docs</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</si>
  <si>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</si>
  <si>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</si>
  <si>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</si>
  <si>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</si>
  <si>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REST API returns JSON only. Content rendering is frontend responsibility.</t>
  </si>
  <si>
    <t>V3.2.2</t>
  </si>
  <si>
    <t>Verify that content intended to be displayed as text, rather than rendered as HTML, is handled using safe rendering functions (such as createTextNode or textContent) to prevent unintended execution of content such as HTML or JavaScript.</t>
  </si>
  <si>
    <t>Frontend responsibility. No client-side rendering in backend repo.</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</si>
  <si>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</si>
  <si>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</si>
  <si>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Frontend responsibility. No client-side JavaScript in backend.</t>
  </si>
  <si>
    <t>V3.3</t>
  </si>
  <si>
    <t>Cookie Setup</t>
  </si>
  <si>
    <t>V3.3.1</t>
  </si>
  <si>
    <t>Verify that cookies have the 'Secure' attribute set, and if the '\__Host-' prefix is not used for the cookie name, the '__Secure-' prefix must be used for the cookie name.</t>
  </si>
  <si>
    <t>JWT via Authorization: Bearer header, not cookies. Stateless JWT.</t>
  </si>
  <si>
    <t>JwtAuthenticationFilter.java; SecurityConfig.java:66 STATELESS</t>
  </si>
  <si>
    <t>V3.3.2</t>
  </si>
  <si>
    <t>Verify that each cookie's 'SameSite' attribute value is set according to the purpose of the cookie, to limit exposure to user interface redress attacks and browser-based request forgery attacks, commonly known as cross-site request forgery (CSRF).</t>
  </si>
  <si>
    <t>No cookie-based sessions. Stateless JWT.</t>
  </si>
  <si>
    <t>V3.3.3</t>
  </si>
  <si>
    <t>Verify that cookies have the '__Host-' prefix for the cookie name unless they are explicitly designed to be shared with other hosts.</t>
  </si>
  <si>
    <t>No cookie-based sessions.</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</si>
  <si>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</si>
  <si>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</si>
  <si>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JWT via Authorization header, not cookies.</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</si>
  <si>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</si>
  <si>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</si>
  <si>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No cookies used.</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</si>
  <si>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</si>
  <si>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</si>
  <si>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</si>
  <si>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</si>
  <si>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HSTS at reverse proxy, not in Spring Boot. No max-age verified.</t>
  </si>
  <si>
    <t>Improvement: document HSTS config in deployment guide. SR-17</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</si>
  <si>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</si>
  <si>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</si>
  <si>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FACT-CHECK: NO CORS configuration exists. Grep for CorsConfiguration/allowedOrigins/@CrossOrigin across src/main/ = ZERO results. No cors() builder in SecurityConfig.java.</t>
  </si>
  <si>
    <t>Risk: browser SPA on different origin blocked. Improvement: add cors config in SecurityConfig.java. SR-17</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</si>
  <si>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</si>
  <si>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</si>
  <si>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CSP not relevant for JSON API but required if frontend served from same origin.</t>
  </si>
  <si>
    <t>Improvement: configure CSP at reverse proxy. SR-16</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</si>
  <si>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</si>
  <si>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</si>
  <si>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X-Content-Type-Options not applicable to JSON API responses.</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</si>
  <si>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</si>
  <si>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</si>
  <si>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Referrer-Policy not configured at any layer.</t>
  </si>
  <si>
    <t>Improvement: add to reverse proxy or Spring Security. SR-17</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</si>
  <si>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</si>
  <si>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</si>
  <si>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frame-ancestors / X-Frame-Options not enforced.</t>
  </si>
  <si>
    <t>Risk: clickjacking if HTML pages served. Currently API-only. SR-04</t>
  </si>
  <si>
    <t>V3.4.7</t>
  </si>
  <si>
    <t>Verify that the Content-Security-Policy header field specifies a location to report violations.</t>
  </si>
  <si>
    <t>No CSP (no browser frontend).</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</si>
  <si>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</si>
  <si>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</si>
  <si>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REST API; no document rendering (text/html).</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</si>
  <si>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</si>
  <si>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</si>
  <si>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</si>
  <si>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</si>
  <si>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CSRF disabled correctly for stateless JWT API. SecurityConfig.java:65 csrf.disable() with inline justification.</t>
  </si>
  <si>
    <t>SecurityConfig.java:63-66; SR-08</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</si>
  <si>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</si>
  <si>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</si>
  <si>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No CORS preflight because no CORS config exists.</t>
  </si>
  <si>
    <t>See V3.4.2 — same gap</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</si>
  <si>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</si>
  <si>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</si>
  <si>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State-changing endpoints use POST/PUT/PATCH/DELETE. GET read-only. All 14 controllers verified.</t>
  </si>
  <si>
    <t>All controllers; SR-02</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</si>
  <si>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</si>
  <si>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</si>
  <si>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Single deployment.</t>
  </si>
  <si>
    <t>V3.5.5</t>
  </si>
  <si>
    <t>Verify that messages received by the postMessage interface are discarded if the origin of the message is not trusted, or if the syntax of the message is invalid.</t>
  </si>
  <si>
    <t>postMessage not used.</t>
  </si>
  <si>
    <t>V3.5.6</t>
  </si>
  <si>
    <t>Verify that JSONP functionality is not enabled anywhere across the application to avoid Cross-Site Script Inclusion (XSSI) attacks.</t>
  </si>
  <si>
    <t>JSONP not used anywhere. Spring Boot does not support JSONP by default.</t>
  </si>
  <si>
    <t>Verified; SR-16</t>
  </si>
  <si>
    <t>V3.5.7</t>
  </si>
  <si>
    <t>Verify that data requiring authorization is not included in script resource responses, like JavaScript files, to prevent Cross-Site Script Inclusion (XSSI) attacks.</t>
  </si>
  <si>
    <t>No sensitive data in script responses. REST endpoints return JSON with dedicated DTOs.</t>
  </si>
  <si>
    <t>Controller DTOs; SR-16</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</si>
  <si>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</si>
  <si>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</si>
  <si>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Auth requirement on protected endpoints. CORS not configured (see V3.4.2).</t>
  </si>
  <si>
    <t>SecurityConfig.java; SR-17</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</si>
  <si>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</si>
  <si>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</si>
  <si>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</si>
  <si>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</si>
  <si>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No external JS/CSS dependencies in backend repo.</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</si>
  <si>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</si>
  <si>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</si>
  <si>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</si>
  <si>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</si>
  <si>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Java 17 LTS + Spring Boot 3.5.14. No legacy plugins.</t>
  </si>
  <si>
    <t>pom.xml; SR-04</t>
  </si>
  <si>
    <t>V3.7.2</t>
  </si>
  <si>
    <t>Verify that the application will only automatically redirect the user to a different hostname or domain (which is not controlled by the application) where the destination appears on an allowlist.</t>
  </si>
  <si>
    <t>REST API does not redirect to external URLs.</t>
  </si>
  <si>
    <t>V3.7.3</t>
  </si>
  <si>
    <t>Verify that the application shows a notification when the user is being redirected to a URL outside of the application's control, with an option to cancel the navigation.</t>
  </si>
  <si>
    <t>No external redirect UX in REST API.</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</si>
  <si>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</si>
  <si>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</si>
  <si>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Academic project. HSTS preload not applicable.</t>
  </si>
  <si>
    <t>V3.7.5</t>
  </si>
  <si>
    <t>Verify that the application behaves as documented (such as warning the user or blocking access) if the browser used to access the application does not support the expected security features.</t>
  </si>
  <si>
    <t>No fallback behavior documented for browsers lacking security features.</t>
  </si>
  <si>
    <t>Improvement: document in API docs. SR-14</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</si>
  <si>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</si>
  <si>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</si>
  <si>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</si>
  <si>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</si>
  <si>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Content-Type: application/json enforced by Spring Boot/Jackson on all REST responses.</t>
  </si>
  <si>
    <t>Spring Boot default serialization; SR-14</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</si>
  <si>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</si>
  <si>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</si>
  <si>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**FACT-CHECK CORRECTED:** No requiresChannel() exists in SecurityConfig.java. HTTPS enforced at reverse proxy only. No HTTPS redirect in Spring Boot.</t>
  </si>
  <si>
    <t>SecurityConfig.java (no requiresChannel); SR-14</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</si>
  <si>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</si>
  <si>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</si>
  <si>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**FACT-CHECK CORRECTED:** server.forward-headers-strategy=NATIVE not explicitly configured in any .properties file. Proxy headers handled at gateway only.</t>
  </si>
  <si>
    <t>application.properties (property absent); SR-14</t>
  </si>
  <si>
    <t>V4.1.4</t>
  </si>
  <si>
    <t>Verify that only HTTP methods that are explicitly supported by the application or its API (including OPTIONS during preflight requests) can be used and that unused methods are blocked.</t>
  </si>
  <si>
    <t>Spring Security restricts HTTP methods. Unsupported methods -&gt; 405.</t>
  </si>
  <si>
    <t>SecurityConfig.java; SR-14</t>
  </si>
  <si>
    <t>V4.1.5</t>
  </si>
  <si>
    <t>Verify that per-message digital signatures are used to provide additional assurance on top of transport protections for requests or transactions which are highly sensitive or which traverse a number of systems.</t>
  </si>
  <si>
    <t>HMAC-SHA256 exists for payment webhooks only. Not applied to internal API/admin calls.</t>
  </si>
  <si>
    <t>Risk: replay of internal calls. Improvement: extend per-message signing to admin ops</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</si>
  <si>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</si>
  <si>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</si>
  <si>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</si>
  <si>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</si>
  <si>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HTTP boundaries handled by Tomcat 10.1.x + reverse proxy.</t>
  </si>
  <si>
    <t>Tomcat 10.1.55; SR-14</t>
  </si>
  <si>
    <t>V4.2.2</t>
  </si>
  <si>
    <t>Verify that when generating HTTP messages, the Content-Length header field does not conflict with the length of the content as determined by the framing of the HTTP protocol, in order to prevent request smuggling attacks.</t>
  </si>
  <si>
    <t>Content-Length managed by Tomcat.</t>
  </si>
  <si>
    <t>Tomcat 10.1.x</t>
  </si>
  <si>
    <t>V4.2.3</t>
  </si>
  <si>
    <t>Verify that the application does not send nor accept HTTP/2 or HTTP/3 messages with connection-specific header fields such as Transfer-Encoding to prevent response splitting and header injection attacks.</t>
  </si>
  <si>
    <t>HTTP/2 terminated at reverse proxy. App receives HTTP/1.1.</t>
  </si>
  <si>
    <t>Not applicable at app layer</t>
  </si>
  <si>
    <t>V4.2.4</t>
  </si>
  <si>
    <t>Verify that the application only accepts HTTP/2 and HTTP/3 requests where the header fields and values do not contain any CR (\r), LF (\n), or CRLF (\r\n) sequences, to prevent header injection attacks.</t>
  </si>
  <si>
    <t>CR/LF in headers handled by Tomcat + Spring Boot input sanitization.</t>
  </si>
  <si>
    <t>Tomcat + Spring Boot defaults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</si>
  <si>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</si>
  <si>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</si>
  <si>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**FACT-CHECK CORRECTED:** server.tomcat.max-http-request-header-size=8KB does NOT exist in any .properties file. No explicit header size limit configured.</t>
  </si>
  <si>
    <t>application.properties (property absent); SR-25</t>
  </si>
  <si>
    <t>V4.3</t>
  </si>
  <si>
    <t>GraphQL</t>
  </si>
  <si>
    <t>V4.3.1</t>
  </si>
  <si>
    <t>Verify that a query allowlist, depth limiting, amount limiting, or query cost analysis is used to prevent GraphQL or data layer expression Denial of Service (DoS) as a result of expensive, nested queries.</t>
  </si>
  <si>
    <t>No GraphQL endpoint or dependency.</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</si>
  <si>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</si>
  <si>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</si>
  <si>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</si>
  <si>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</si>
  <si>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</si>
  <si>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</si>
  <si>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No WebSocket endpoint or dependency.</t>
  </si>
  <si>
    <t>V4.4.2</t>
  </si>
  <si>
    <t>Verify that, during the initial HTTP WebSocket handshake, the Origin header field is checked against a list of origins allowed for the application.</t>
  </si>
  <si>
    <t>V4.4.3</t>
  </si>
  <si>
    <t>Verify that, if the application's standard session management cannot be used, dedicated tokens are being used for this, which comply with the relevant Session Management security requirements.</t>
  </si>
  <si>
    <t>V4.4.4</t>
  </si>
  <si>
    <t>Verify that dedicated WebSocket session management tokens are initially obtained or validated through the previously authenticated HTTPS session when transitioning an existing HTTPS session to a WebSocket channel.</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</si>
  <si>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</si>
  <si>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</si>
  <si>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</si>
  <si>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</si>
  <si>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File upload controls documented in code: allowed types (image/jpeg,png,webp) at FileValidationServiceImpl:16-18, extensions (.jpg,.jpeg,.png,.webp), max 5MB (2MB prod), EXIF stripping via ExifStripper, magic bytes via Apache Tika 3.2.2.</t>
  </si>
  <si>
    <t>FileValidationServiceImpl.java:16-21; application.properties; SR-26</t>
  </si>
  <si>
    <t>V5.2</t>
  </si>
  <si>
    <t>File Upload and Content</t>
  </si>
  <si>
    <t>V5.2.1</t>
  </si>
  <si>
    <t>Verify that the application will only accept files of a size which it can process without causing a loss of performance or a denial of service attack.</t>
  </si>
  <si>
    <t>Max file size at multiple layers: FileValidationServiceImpl:33-35 rejects &gt;5MB; spring.servlet.multipart.max-file-size=5MB (2MB prod); max-request-size=10MB.</t>
  </si>
  <si>
    <t>FileValidationServiceImpl.java:33-35; application.properties; application-prod.properties; SR-30</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</si>
  <si>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</si>
  <si>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</si>
  <si>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7-step validation: null, size, Content-Type whitelist, extension whitelist, Apache Tika magic bytes, magic-to-extension cross-check (prevents .exe as .jpg), ImageIO.read() decodability. 29 tests passing across 4 test classes.</t>
  </si>
  <si>
    <t>FileValidationServiceImpl.java:22-95; FileValidationServiceImplFileTest (9 tests); SR-26</t>
  </si>
  <si>
    <t>V5.2.3</t>
  </si>
  <si>
    <t>Verify that the application checks compressed files (e.g., zip, gz, docx, odt) against maximum allowed uncompressed size and against maximum number of files before uncompressing the file.</t>
  </si>
  <si>
    <t>No compressed file extraction. Backups are direct MySQL dumps via ProcessBuilder.</t>
  </si>
  <si>
    <t>V5.2.4</t>
  </si>
  <si>
    <t>Verify that a file size quota and maximum number of files per user are enforced to ensure that a single user cannot fill up the storage with too many files, or excessively large files.</t>
  </si>
  <si>
    <t>No per-user file quota. Backup rotation managed at system level (30-day).</t>
  </si>
  <si>
    <t>Not applicable — no multi-user file storage</t>
  </si>
  <si>
    <t>V5.2.5</t>
  </si>
  <si>
    <t>Verify that the application does not allow uploading compressed files containing symlinks unless this is specifically required (in which case it will be necessary to enforce an allowlist of the files that can be symlinked to).</t>
  </si>
  <si>
    <t>PathValidatorImpl.containsSymlink() uses Files.isSymbolicLink(). FileStorageServiceImpl:53 blocks symlinks before write. Test confirms: store_symlinkTarget_shouldThrowSecurityException.</t>
  </si>
  <si>
    <t>PathValidatorImpl.java:28-30; FileStorageServiceImpl.java:53; FileStorageServiceImplTest; SR-27</t>
  </si>
  <si>
    <t>V5.2.6</t>
  </si>
  <si>
    <t>Verify that the application rejects uploaded images with a pixel size larger than the maximum allowed, to prevent pixel flood attacks.</t>
  </si>
  <si>
    <t>No arbitrary image processing beyond EXIF stripping. Product images small. MAX_FILE_SIZE=2MB (prod) limits pixel flood.</t>
  </si>
  <si>
    <t>Not applicable — 2MB cap mitigates pixel flood risk</t>
  </si>
  <si>
    <t>V5.3</t>
  </si>
  <si>
    <t>File Storage</t>
  </si>
  <si>
    <t>V5.3.1</t>
  </si>
  <si>
    <t>Verify that files uploaded or generated by untrusted input and stored in a public folder, are not executed as server-side program code when accessed directly with an HTTP request.</t>
  </si>
  <si>
    <t>Files stored in /var/vendnet/uploads/products/ with POSIX rw-r----- (OWNER_READ,OWNER_WRITE,GROUP_READ). Not served via HTTP directly — only through API DTOs with auth.</t>
  </si>
  <si>
    <t>FileStorageServiceImpl.java:108-117; application-prod.properties; SR-26</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</si>
  <si>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</si>
  <si>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</si>
  <si>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UUID-based filenames (never user-supplied): UUID.randomUUID() + extension. Path validated via PathValidatorImpl.isValidPath() using toRealPath() canonicalization + startsWith check against sandbox root.</t>
  </si>
  <si>
    <t>FileStorageServiceImpl.java:46-53; PathValidatorImpl.java:13-25; SR-26</t>
  </si>
  <si>
    <t>V5.3.3</t>
  </si>
  <si>
    <t>Verify that server-side file processing, such as file decompression, ignores user-provided path information to prevent vulnerabilities such as zip slip.</t>
  </si>
  <si>
    <t>No file decompression. Backups are direct MySQL dumps.</t>
  </si>
  <si>
    <t>V5.4</t>
  </si>
  <si>
    <t>File Download</t>
  </si>
  <si>
    <t>V5.4.1</t>
  </si>
  <si>
    <t>Verify that the application validates or ignores user-submitted filenames, including in a JSON, JSONP, or URL parameter and specifies a filename in the Content-Disposition header field in the response.</t>
  </si>
  <si>
    <t>No file download endpoint exists. Product images returned as relative URL strings in JSON. No Content-Disposition header.</t>
  </si>
  <si>
    <t>Risk: if download added, must sanitize filenames. Improvement: implement RFC 6266 Content-Disposition encoding. SR-26</t>
  </si>
  <si>
    <t>V5.4.2</t>
  </si>
  <si>
    <t>Verify that file names served (e.g., in HTTP response header fields or email attachments) are encoded or sanitized (e.g., following RFC 6266) to preserve document structure and prevent injection attacks.</t>
  </si>
  <si>
    <t>No file serving endpoint. Filename encoding per RFC 6266 not implemented.</t>
  </si>
  <si>
    <t>See V5.4.1. SR-26</t>
  </si>
  <si>
    <t>V5.4.3</t>
  </si>
  <si>
    <t>Verify that files obtained from untrusted sources are scanned by antivirus scanners to prevent serving of known malicious content.</t>
  </si>
  <si>
    <t>No files from untrusted external sources. Product images uploaded by authenticated admins through 7-step validation + EXIF stripping pipeline.</t>
  </si>
  <si>
    <t>Admin-only upload with full validation suffices for current scope</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</si>
  <si>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</si>
  <si>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</si>
  <si>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</si>
  <si>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</si>
  <si>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Account lockout documented: 5 attempts in 15min window -&gt; LOCKED 30min. User.java:28-30 constants.</t>
  </si>
  <si>
    <t>User.java:28-30; SR-07</t>
  </si>
  <si>
    <t>V6.1.2</t>
  </si>
  <si>
    <t>Verify that a list of context-specific words is documented in order to prevent their use in passwords. The list could include permutations of organization names, product names, system identifiers, project codenames, department or role names, and similar.</t>
  </si>
  <si>
    <t>Password policy not in REST API scope. External to application.</t>
  </si>
  <si>
    <t>V6.1.3</t>
  </si>
  <si>
    <t>Verify that, if the application includes multiple authentication pathways, these are all documented together with the security controls and authentication strength which must be consistently enforced across them.</t>
  </si>
  <si>
    <t>JWT for users (3 roles), mTLS for machines. All documented in SR-01 to SR-08.</t>
  </si>
  <si>
    <t>SecurityConfig.java; SR-01 to SR-08</t>
  </si>
  <si>
    <t>V6.2</t>
  </si>
  <si>
    <t>Password Security</t>
  </si>
  <si>
    <t>V6.2.1</t>
  </si>
  <si>
    <t>Verify that user set passwords are at least 8 characters in length although a minimum of 15 characters is strongly recommended.</t>
  </si>
  <si>
    <t>Password policy external to REST API.</t>
  </si>
  <si>
    <t>V6.2.2</t>
  </si>
  <si>
    <t>Verify that users can change their password.</t>
  </si>
  <si>
    <t>Password management external.</t>
  </si>
  <si>
    <t>V6.2.3</t>
  </si>
  <si>
    <t>Verify that password change functionality requires the user's current and new password.</t>
  </si>
  <si>
    <t>V6.2.4</t>
  </si>
  <si>
    <t>Verify that passwords submitted during account registration or password change are checked against an available set of, at least, the top 3000 passwords which match the application's password policy, e.g. minimum length.</t>
  </si>
  <si>
    <t>External IdP responsibility.</t>
  </si>
  <si>
    <t>V6.2.5</t>
  </si>
  <si>
    <t>Verify that passwords of any composition can be used, without rules limiting the type of characters permitted. There must be no requirement for a minimum number of upper or lower case characters, numbers, or special characters.</t>
  </si>
  <si>
    <t>Password policy external.</t>
  </si>
  <si>
    <t>V6.2.6</t>
  </si>
  <si>
    <t>Verify that password input fields use type=password to mask the entry. Applications may allow the user to temporarily view the entire masked password, or the last typed character of the password.</t>
  </si>
  <si>
    <t>REST API does not render HTML.</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</si>
  <si>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</si>
  <si>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</si>
  <si>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</si>
  <si>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</si>
  <si>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BCrypt verifies password exactly as received. AuthService.java:142: passwordEncoder.matches(request.getPassword(), user.getPassword()). BCrypt handles comparison without modification.</t>
  </si>
  <si>
    <t>AuthService.java:142; SecurityConfig.java:95-96 BCryptPasswordEncoder(12)</t>
  </si>
  <si>
    <t>V6.2.9</t>
  </si>
  <si>
    <t>Verify that passwords of at least 64 characters are permitted.</t>
  </si>
  <si>
    <t>Password length not enforced at REST API layer.</t>
  </si>
  <si>
    <t>V6.2.10</t>
  </si>
  <si>
    <t>Verify that a user's password stays valid until it is discovered to be compromised or the user rotates it. The application must not require periodic credential rotation.</t>
  </si>
  <si>
    <t>V6.2.11</t>
  </si>
  <si>
    <t>Verify that the documented list of context specific words is used to prevent easy to guess passwords being created.</t>
  </si>
  <si>
    <t>V6.2.12</t>
  </si>
  <si>
    <t>Verify that passwords submitted during account registration or password changes are checked against a set of breached passwords.</t>
  </si>
  <si>
    <t>V6.3</t>
  </si>
  <si>
    <t>General Authentication Security</t>
  </si>
  <si>
    <t>V6.3.1</t>
  </si>
  <si>
    <t>Verify that controls to prevent attacks such as credential stuffing and password brute force are implemented according to the application's security documentation.</t>
  </si>
  <si>
    <t>Full lockout: User.java:98-114 incrementFailedAttempts() resets after 15min window, locks at &gt;=5. User.java:74-88 checkAccountStatus() auto-unlocks after 30min. AuthService:142-163 on password mismatch: calls increment, audits, throws AccountLockedException. Filter level: JwtAuthenticationFilter:65-69 blocks LOCKED even with valid JWT. Test: AuthControllerIntegrationTest:161-203 confirms 5 fails -&gt; locked -&gt; correct pw returns 423.</t>
  </si>
  <si>
    <t>User.java:28-30,74-88,98-114; AuthService.java:142-163; JwtAuthenticationFilter.java:65-69; AuthControllerIntegrationTest; SR-07</t>
  </si>
  <si>
    <t>V6.3.2</t>
  </si>
  <si>
    <t>Verify that default user accounts (e.g., "root", "admin", or "sa") are not present in the application or are disabled.</t>
  </si>
  <si>
    <t>Bootstrap creates only documented users. No default root/admin accounts.</t>
  </si>
  <si>
    <t>BootstrapService.java</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</si>
  <si>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</si>
  <si>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</si>
  <si>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Real RFC 6238 TOTP MFA with HmacSHA256, 30s window, 6 digits. AuthService.java:334-351 generateTotpCode(), :317-332 verifyTotp() +/-1 window. Admin-only: AuthService.java:216-248 verifyMfa() only for ADMINISTRATOR with totpSecret set. Non-admin users bypass MFA.</t>
  </si>
  <si>
    <t>AuthService.java:37-42,250-351; SR-01</t>
  </si>
  <si>
    <t>V6.3.4</t>
  </si>
  <si>
    <t>Verify that, if the application includes multiple authentication pathways, there are no undocumented pathways and that security controls and authentication strength are enforced consistently.</t>
  </si>
  <si>
    <t>All auth pathways documented: JWT for users, mTLS for machines. No undocumented paths.</t>
  </si>
  <si>
    <t>SR-01 to SR-08; SecurityConfig.java</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</si>
  <si>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</si>
  <si>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</si>
  <si>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Audit log records suspicious events but no real-time user notification.</t>
  </si>
  <si>
    <t>Risk: delayed compromise detection. Improvement: add webhook/email for security events. SR-44</t>
  </si>
  <si>
    <t>V6.3.6</t>
  </si>
  <si>
    <t>Verify that email is not used as either a single-factor or multi-factor authentication mechanism.</t>
  </si>
  <si>
    <t>No email-based authentication anywhere. TOTP only for MFA.</t>
  </si>
  <si>
    <t>SR-01</t>
  </si>
  <si>
    <t>V6.3.7</t>
  </si>
  <si>
    <t>Verify that users are notified after updates to authentication details, such as credential resets or modification of the username or email address.</t>
  </si>
  <si>
    <t>Audit log records auth changes. No user-facing notification on credential changes.</t>
  </si>
  <si>
    <t>Improvement: notify user on credential/role changes. SR-39</t>
  </si>
  <si>
    <t>V6.3.8</t>
  </si>
  <si>
    <t>Verify that valid users cannot be deduced from failed authentication challenges, such as by basing on error messages, HTTP response codes, or different response times. Registration and forgot password functionality must also have this protection.</t>
  </si>
  <si>
    <t>Generic "Invalid credentials" on all failures. AuthService.java:108-109: on user-not-found, hashes dummy password to prevent timing-based user enumeration. Test: login_nonExistentUser_returns401.</t>
  </si>
  <si>
    <t>AuthService.java:108-109; AuthControllerIntegrationTest</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</si>
  <si>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</si>
  <si>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</si>
  <si>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</si>
  <si>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</si>
  <si>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Account provisioning external.</t>
  </si>
  <si>
    <t>V6.4.2</t>
  </si>
  <si>
    <t>Verify that password hints or knowledge-based authentication (so-called "secret questions") are not present.</t>
  </si>
  <si>
    <t>No password hints or secret questions implemented.</t>
  </si>
  <si>
    <t>V6.4.3</t>
  </si>
  <si>
    <t>Verify that a secure process for resetting a forgotten password is implemented, that does not bypass any enabled multi-factor authentication mechanisms.</t>
  </si>
  <si>
    <t>Password reset external.</t>
  </si>
  <si>
    <t>V6.4.4</t>
  </si>
  <si>
    <t>Verify that if a multi-factor authentication factor is lost, evidence of identity proofing is performed at the same level as during enrollment.</t>
  </si>
  <si>
    <t>Account recovery external.</t>
  </si>
  <si>
    <t>V6.4.5</t>
  </si>
  <si>
    <t>Verify that renewal instructions for authentication mechanisms which expire are sent with enough time to be carried out before the old authentication mechanism expires, configuring automated reminders if necessary.</t>
  </si>
  <si>
    <t>JWT key rotation every 90 days documented. No automated notification before expiry.</t>
  </si>
  <si>
    <t>Improvement: add key expiry reminder via audit log. SR-04</t>
  </si>
  <si>
    <t>V6.4.6</t>
  </si>
  <si>
    <t>Verify that administrative users can initiate the password reset process for the user, but that this does not allow them to change or choose the user's password. This prevents a situation where they know the user's password.</t>
  </si>
  <si>
    <t>V6.5</t>
  </si>
  <si>
    <t>General Multi-factor authentication requirements</t>
  </si>
  <si>
    <t>V6.5.1</t>
  </si>
  <si>
    <t>Verify that lookup secrets, out-of-band authentication requests or codes, and time-based one-time passwords (TOTPs) are only successfully usable once.</t>
  </si>
  <si>
    <t>TOTP validated once per auth session. AuthService.java:317-332 verifyTotp() with +/-1 drift window.</t>
  </si>
  <si>
    <t>AuthService.java:317-351; SR-01</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</si>
  <si>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</si>
  <si>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</si>
  <si>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MFA backup codes hashed with BCrypt. SecureRandom for generation.</t>
  </si>
  <si>
    <t>AuthService.java:250-254</t>
  </si>
  <si>
    <t>V6.5.3</t>
  </si>
  <si>
    <t>Verify that lookup secrets, out-of-band authentication code, and time-based one-time password seeds, are generated using a Cryptographically Secure Pseudorandom Number Generator (CSPRNG) to avoid predictable values.</t>
  </si>
  <si>
    <t>TOTP seeds via java.security.SecureRandom (CSPRNG). AuthService.java:250-254.</t>
  </si>
  <si>
    <t>AuthService.java:250-254; SR-01</t>
  </si>
  <si>
    <t>V6.5.4</t>
  </si>
  <si>
    <t>Verify that lookup secrets and out-of-band authentication codes have a minimum of 20 bits of entropy (typically 4 random alphanumeric characters or 6 random digits is sufficient).</t>
  </si>
  <si>
    <t>TOTP standard provides &gt;=20 bits entropy by design (6 digits = ~20 bits).</t>
  </si>
  <si>
    <t>RFC 6238 compliance</t>
  </si>
  <si>
    <t>V6.5.5</t>
  </si>
  <si>
    <t>Verify that out-of-band authentication requests, codes, or tokens, as well as time-based one-time passwords (TOTPs) have a defined lifetime. Out of band requests must have a maximum lifetime of 10 minutes and for TOTP a maximum lifetime of 30 seconds.</t>
  </si>
  <si>
    <t>TOTP 30s window. AuthService.java:37 TOTP_PERIOD=30. Replay within window prevented because codes cycle every 30s. Server-side system time via NTP.</t>
  </si>
  <si>
    <t>AuthService.java:37-42; SR-01</t>
  </si>
  <si>
    <t>V6.5.6</t>
  </si>
  <si>
    <t>Verify that any authentication factor (including physical devices) can be revoked in case of theft or other loss.</t>
  </si>
  <si>
    <t>No granular MFA factor revocation endpoint. Only account-level disable.</t>
  </si>
  <si>
    <t>Improvement: POST /admin/users/{id}/mfa/revoke. SR-22</t>
  </si>
  <si>
    <t>V6.5.7</t>
  </si>
  <si>
    <t>Verify that biometric authentication mechanisms are only used as secondary factors together with either something you have or something you know.</t>
  </si>
  <si>
    <t>No biometric authentication.</t>
  </si>
  <si>
    <t>V6.5.8</t>
  </si>
  <si>
    <t>Verify that time-based one-time passwords (TOTPs) are checked based on a time source from a trusted service and not from an untrusted or client provided time.</t>
  </si>
  <si>
    <t>TOTP validated against server-side system time (NTP-synchronized). Not client-provided time.</t>
  </si>
  <si>
    <t>AuthService.java:317-332; SR-01</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</si>
  <si>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</si>
  <si>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</si>
  <si>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</si>
  <si>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</si>
  <si>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No PSTN/SMS MFA. TOTP only.</t>
  </si>
  <si>
    <t>V6.6.2</t>
  </si>
  <si>
    <t>Verify that out-of-band authentication requests, codes, or tokens are bound to the original authentication request for which they were generated and are not usable for a previous or subsequent one.</t>
  </si>
  <si>
    <t>TOTP codes bound to auth session. Not reusable across sessions.</t>
  </si>
  <si>
    <t>AuthService.java; SR-01</t>
  </si>
  <si>
    <t>V6.6.3</t>
  </si>
  <si>
    <t>Verify that a code based out-of-band authentication mechanism is protected against brute force attacks by using rate limiting. Consider also using a code with at least 64 bits of entropy.</t>
  </si>
  <si>
    <t>No per-session OTP attempt rate limiting.</t>
  </si>
  <si>
    <t>Risk: OTP brute-force within 30s window. Improvement: 3 attempts per session max</t>
  </si>
  <si>
    <t>V6.6.4</t>
  </si>
  <si>
    <t>Verify that, where push notifications are used for multi-factor authentication, rate limiting is used to prevent push bombing attacks. Number matching may also mitigate this risk.</t>
  </si>
  <si>
    <t>No push notification MFA.</t>
  </si>
  <si>
    <t>V6.7</t>
  </si>
  <si>
    <t>Cryptographic authentication mechanism</t>
  </si>
  <si>
    <t>V6.7.1</t>
  </si>
  <si>
    <t>Verify that the certificates used to verify cryptographic authentication assertions are stored in a way protects them from modification.</t>
  </si>
  <si>
    <t>mTLS certificates stored in application config files, not in protected vault.</t>
  </si>
  <si>
    <t>Risk: config tampering. Improvement: use key vault for cert storage. SR-22</t>
  </si>
  <si>
    <t>V6.7.2</t>
  </si>
  <si>
    <t>Verify that the challenge nonce is at least 64 bits in length, and statistically unique or unique over the lifetime of the cryptographic device.</t>
  </si>
  <si>
    <t>No challenge-response authentication.</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</si>
  <si>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</si>
  <si>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</si>
  <si>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</si>
  <si>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</si>
  <si>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Single JWT issuer (this application). No multiple IdPs.</t>
  </si>
  <si>
    <t>V6.8.2</t>
  </si>
  <si>
    <t>Verify that the presence and integrity of digital signatures on authentication assertions (for example on JWTs or SAML assertions) are always validated, rejecting any assertions that are unsigned or have invalid signatures.</t>
  </si>
  <si>
    <t>JWT signature enforced; alg:none blocked via JwtService.java:142-158 rejectAlgNone() + parseSignedClaims() double protection.</t>
  </si>
  <si>
    <t>JwtService.java:137-158; SR-03</t>
  </si>
  <si>
    <t>V6.8.3</t>
  </si>
  <si>
    <t>Verify that SAML assertions are uniquely processed and used only once within the validity period to prevent replay attacks.</t>
  </si>
  <si>
    <t>No SAML. JWT only.</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</si>
  <si>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</si>
  <si>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</si>
  <si>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No acr/amr claim validation for step-up authentication.</t>
  </si>
  <si>
    <t>Improvement: validate acr claim for admin endpoints requiring MFA. SR-01</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</si>
  <si>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</si>
  <si>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</si>
  <si>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</si>
  <si>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</si>
  <si>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JWT exp claim enforces absolute lifetime (24h). Documented in SR-05 and JwtService.java.</t>
  </si>
  <si>
    <t>JwtService.java; SR-05</t>
  </si>
  <si>
    <t>V7.1.2</t>
  </si>
  <si>
    <t>Verify that the documentation defines how many concurrent (parallel) sessions are allowed for one account as well as the intended behaviors and actions to be taken when the maximum number of active sessions is reached.</t>
  </si>
  <si>
    <t>Single active JWT per user not enforced. New login issues new token; old remains valid until expiry.</t>
  </si>
  <si>
    <t>Risk: multiple concurrent sessions. Improvement: token blocklist or max session limit</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</si>
  <si>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</si>
  <si>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</si>
  <si>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No federated SSO. Single JWT issuer.</t>
  </si>
  <si>
    <t>V7.2</t>
  </si>
  <si>
    <t>Fundamental Session Management Security</t>
  </si>
  <si>
    <t>V7.2.1</t>
  </si>
  <si>
    <t>Verify that the application performs all session token verification using a trusted, backend service.</t>
  </si>
  <si>
    <t>JWT validation server-side in JwtAuthenticationFilter. No client-side trust.</t>
  </si>
  <si>
    <t>JwtAuthenticationFilter.java; SR-03</t>
  </si>
  <si>
    <t>V7.2.2</t>
  </si>
  <si>
    <t>Verify that the application uses either self-contained or reference tokens that are dynamically generated for session management, i.e. not using static API secrets and keys.</t>
  </si>
  <si>
    <t>Self-contained JWT dynamically generated per login via JwtService.generateToken(). No static API keys.</t>
  </si>
  <si>
    <t>JwtService.java; SR-03,SR-04</t>
  </si>
  <si>
    <t>V7.2.3</t>
  </si>
  <si>
    <t>Verify that if reference tokens are used to represent user sessions, they are unique and generated using a cryptographically secure pseudo-random number generator (CSPRNG) and possess at least 128 bits of entropy.</t>
  </si>
  <si>
    <t>Self-contained JWTs used, not reference tokens.</t>
  </si>
  <si>
    <t>JWT architecture</t>
  </si>
  <si>
    <t>V7.2.4</t>
  </si>
  <si>
    <t>Verify that the application generates a new session token on user authentication, including re-authentication, and terminates the current session token.</t>
  </si>
  <si>
    <t>New JWT on login. AccountStatus check invalidates suspended/locked accounts regardless of JWT expiry at JwtAuthenticationFilter:65-69.</t>
  </si>
  <si>
    <t>AuthService.java; JwtAuthenticationFilter.java:65-69; SR-05</t>
  </si>
  <si>
    <t>V7.3</t>
  </si>
  <si>
    <t>Session Timeout</t>
  </si>
  <si>
    <t>V7.3.1</t>
  </si>
  <si>
    <t>Verify that there is an inactivity timeout such that re-authentication is enforced according to risk analysis and documented security decisions.</t>
  </si>
  <si>
    <t>No inactivity-based timeout. Only absolute exp timeout.</t>
  </si>
  <si>
    <t>Risk: stolen token valid for full lifetime. Improvement: add auth_time sliding window</t>
  </si>
  <si>
    <t>V7.3.2</t>
  </si>
  <si>
    <t>Verify that there is an absolute maximum session lifetime such that re-authentication is enforced according to risk analysis and documented security decisions.</t>
  </si>
  <si>
    <t>JWT exp claim enforces absolute maximum lifetime (24 hours).</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</si>
  <si>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</si>
  <si>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</si>
  <si>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</si>
  <si>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</si>
  <si>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AccountStatus checked per request. SUSPENDED/LOCKED accounts rejected at JwtAuthenticationFilter:65-69 regardless of JWT expiry.</t>
  </si>
  <si>
    <t>JwtAuthenticationFilter.java:65-69; SR-05</t>
  </si>
  <si>
    <t>V7.4.2</t>
  </si>
  <si>
    <t>Verify that the application terminates all active sessions when a user account is disabled or deleted (such as an employee leaving the company).</t>
  </si>
  <si>
    <t>Account suspension immediately invalidates all JWTs via per-request status check at filter level.</t>
  </si>
  <si>
    <t>V7.4.3</t>
  </si>
  <si>
    <t>Verify that the application gives the option to terminate all other active sessions after a successful change or removal of any authentication factor (including password change via reset or recovery and, if present, an MFA settings update).</t>
  </si>
  <si>
    <t>No "logout all other sessions" option. Stateless JWT makes this hard without token blocklist.</t>
  </si>
  <si>
    <t>Improvement: token blocklist + POST /auth/logout-all</t>
  </si>
  <si>
    <t>V7.4.4</t>
  </si>
  <si>
    <t>Verify that all pages that require authentication have easy and visible access to logout functionality.</t>
  </si>
  <si>
    <t>REST API. Logout via POST /auth/logout. No HTML pages.</t>
  </si>
  <si>
    <t>V7.4.5</t>
  </si>
  <si>
    <t>Verify that application administrators are able to terminate active sessions for an individual user or for all users.</t>
  </si>
  <si>
    <t>No admin session termination endpoint for individual users.</t>
  </si>
  <si>
    <t>Risk: cannot force-logout compromised accounts. Improvement: POST /admin/users/{id}/sessions/terminate. SR-39</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</si>
  <si>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</si>
  <si>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</si>
  <si>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</si>
  <si>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</si>
  <si>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No re-authentication required before sensitive account modifications (email, MFA settings).</t>
  </si>
  <si>
    <t>Risk: session hijacker can change email/MFA. Improvement: require password re-entry for sensitive changes</t>
  </si>
  <si>
    <t>V7.5.2</t>
  </si>
  <si>
    <t>Verify that users are able to view and (having authenticated again with at least one factor) terminate any or all currently active sessions.</t>
  </si>
  <si>
    <t>No session inventory endpoint for users.</t>
  </si>
  <si>
    <t>Improvement: GET /auth/sessions listing active tokens. SR-05</t>
  </si>
  <si>
    <t>V7.5.3</t>
  </si>
  <si>
    <t>Verify that the application requires further authentication with at least one factor or secondary verification before performing highly sensitive transactions or operations.</t>
  </si>
  <si>
    <t>No step-up authentication for highly sensitive transactions (pricing, backup).</t>
  </si>
  <si>
    <t>Risk: single auth factor for critical ops. Improvement: require MFA reconfirmation for admin operations</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</si>
  <si>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</si>
  <si>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</si>
  <si>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</si>
  <si>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</si>
  <si>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No federated identity. Single JWT issuer.</t>
  </si>
  <si>
    <t>V7.6.2</t>
  </si>
  <si>
    <t>Verify that creation of a session requires either the user's consent or an explicit action, preventing the creation of new application sessions without user interaction.</t>
  </si>
  <si>
    <t>Login requires explicit credentials submission. JWT issued only after successful authentication.</t>
  </si>
  <si>
    <t>POST /auth/login; SR-03</t>
  </si>
  <si>
    <t>V8.1</t>
  </si>
  <si>
    <t>Authorization Documentation</t>
  </si>
  <si>
    <t>V8.1.1</t>
  </si>
  <si>
    <t>Verify that authorization documentation defines rules for restricting function-level and data-specific access based on consumer permissions and resource attributes.</t>
  </si>
  <si>
    <t>RBAC fully documented: CUSTOMER, OPERATOR, ADMINISTRATOR with distinct permissions per endpoint.</t>
  </si>
  <si>
    <t>08_Requirements.md; SR-02,SR-06</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</si>
  <si>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</si>
  <si>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</si>
  <si>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Response DTOs exclude passwordHash via @JsonIgnore. Field-level restrictions documented per role.</t>
  </si>
  <si>
    <t>UserResponseDto.java; SR-16</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</si>
  <si>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</si>
  <si>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</si>
  <si>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Contextual attributes (IP, location, time) logged but not used in real-time auth decisions.</t>
  </si>
  <si>
    <t>Improvement: integrate risk scoring for adaptive auth. SR-37,SR-44</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</si>
  <si>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</si>
  <si>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</si>
  <si>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Risk-based auth limited to lockout. No full contextual/environmental auth decision-making.</t>
  </si>
  <si>
    <t>See V8.1.3. SR-44</t>
  </si>
  <si>
    <t>V8.2</t>
  </si>
  <si>
    <t>General Authorization Design</t>
  </si>
  <si>
    <t>V8.2.1</t>
  </si>
  <si>
    <t>Verify that the application ensures that function-level access is restricted to consumers with explicit permissions.</t>
  </si>
  <si>
    <t>@PreAuthorize("hasRole('...')") on all protected endpoints. @EnableMethodSecurity active. ArchUnit SecurityAnnotationArchTest enforces (0 failures).</t>
  </si>
  <si>
    <t>SecurityConfig.java; SecurityAnnotationArchTest; SR-02,SR-06</t>
  </si>
  <si>
    <t>V8.2.2</t>
  </si>
  <si>
    <t>Verify that the application ensures that data-specific access is restricted to consumers with explicit permissions to specific data items to mitigate insecure direct object reference (IDOR) and broken object level authorization (BOLA).</t>
  </si>
  <si>
    <t>User identity from JWT sub validated against resource owner in UserManagementService. IDOR test: BlackBoxSecurityE2ETest.idor_customerCannotSeeOtherUsersSales.</t>
  </si>
  <si>
    <t>UserManagementService.java; RbacIntegrationTest; SR-08</t>
  </si>
  <si>
    <t>V8.2.3</t>
  </si>
  <si>
    <t>Verify that the application ensures that field-level access is restricted to consumers with explicit permissions to specific fields to mitigate broken object property level authorization (BOPLA).</t>
  </si>
  <si>
    <t>Response DTOs used. @JsonIgnore on passwordHash. fail-on-unknown-properties=true prevents BOPLA.</t>
  </si>
  <si>
    <t>application.properties:45; DTO classes; SR-16</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</si>
  <si>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</si>
  <si>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</si>
  <si>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No adaptive auth based on IP/location/device.</t>
  </si>
  <si>
    <t>See V8.1.3</t>
  </si>
  <si>
    <t>V8.3</t>
  </si>
  <si>
    <t>Operation Level Authorization</t>
  </si>
  <si>
    <t>V8.3.1</t>
  </si>
  <si>
    <t>Verify that the application enforces authorization rules at a trusted service layer and doesn't rely on controls that an untrusted consumer could manipulate, such as client-side JavaScript.</t>
  </si>
  <si>
    <t>Authorization enforced server-side via Spring Security + @PreAuthorize on services. ArchUnit verified.</t>
  </si>
  <si>
    <t>SecurityConfig.java; SecurityAnnotationArchTest; SR-06</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</si>
  <si>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</si>
  <si>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</si>
  <si>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AccountStatus checked per request. Role changes require new JWT (next request picks up new role at filter level).</t>
  </si>
  <si>
    <t>JwtAuthenticationFilter.java:65-69; SR-05,SR-39</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</si>
  <si>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</si>
  <si>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</si>
  <si>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User identity from JWT sub used throughout service chain. No intermediary privilege escalation.</t>
  </si>
  <si>
    <t>JwtAuthenticationFilter sets SecurityContext; SR-08</t>
  </si>
  <si>
    <t>V8.4</t>
  </si>
  <si>
    <t>Other Authorization Considerations</t>
  </si>
  <si>
    <t>V8.4.1</t>
  </si>
  <si>
    <t>Verify that multi-tenant applications use cross-tenant controls to ensure consumer operations will never affect tenants with which they do not have permissions to interact.</t>
  </si>
  <si>
    <t>Single-tenant vending network. Multi-tenancy not in scope.</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</si>
  <si>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</si>
  <si>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</si>
  <si>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Admin endpoints require @PreAuthorize("hasRole('ADMINISTRATOR')") but no additional MFA gate on every admin endpoint.</t>
  </si>
  <si>
    <t>Improvement: enforce MFA check on all admin endpoints via filter. SR-01,SR-44</t>
  </si>
  <si>
    <t>V9.1</t>
  </si>
  <si>
    <t>Token source and integrity</t>
  </si>
  <si>
    <t>V9.1.1</t>
  </si>
  <si>
    <t>Verify that self-contained tokens are validated using their digital signature or MAC to protect against tampering before accepting the token's contents.</t>
  </si>
  <si>
    <t>HMAC-SHA256 signature verified in JwtService.parseToken() before extracting claims. Unsigned tokens rejected.</t>
  </si>
  <si>
    <t>JwtService.java; SR-03</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</si>
  <si>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</si>
  <si>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</si>
  <si>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Only HS256 permitted. JwtService.java:142-158 rejectAlgNone() explicitly blocks alg:none case-insensitively. Then parseSignedClaims() double-protection.</t>
  </si>
  <si>
    <t>JwtService.java:137-158; AbuseCaseRegressionTest; SR-03</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</si>
  <si>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</si>
  <si>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</si>
  <si>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JWT signing key stored server-side in application.properties. jku/x5u/jwk headers ignored. Key must be &gt;=32 chars (256 bits) — JwtService.java:28-29 startup assertion.</t>
  </si>
  <si>
    <t>JwtService.java:28-29; application.properties; SR-04</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</si>
  <si>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</si>
  <si>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</si>
  <si>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</si>
  <si>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</si>
  <si>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exp and nbf claims validated by JJWT library during parseSignedClaims().</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</si>
  <si>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</si>
  <si>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</si>
  <si>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typ claim verified as "JWT" for access token type enforcement.</t>
  </si>
  <si>
    <t>V9.2.3</t>
  </si>
  <si>
    <t>Verify that the service only accepts tokens which are intended for use with that service (audience). For JWTs, this can be achieved by validating the 'aud' claim against an allowlist defined in the service.</t>
  </si>
  <si>
    <t>aud claim validated against configured application name from application.properties.</t>
  </si>
  <si>
    <t>JwtService.java; application.properties; SR-03</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</si>
  <si>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</si>
  <si>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</si>
  <si>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Single application audience. Fixed aud claim per issuer. No dynamic audience provisioning.</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</si>
  <si>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</si>
  <si>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</si>
  <si>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</si>
  <si>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</si>
  <si>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JWT tokens in Authorization: Bearer header only. No client-side storage.</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</si>
  <si>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</si>
  <si>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</si>
  <si>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No OAuth authorization code flow. JWT bearer token model.</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</si>
  <si>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</si>
  <si>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</si>
  <si>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</si>
  <si>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</si>
  <si>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No OAuth code flow. PKCE not applicable.</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</si>
  <si>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</si>
  <si>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</si>
  <si>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Single IdP. No mix-up attack risk.</t>
  </si>
  <si>
    <t>V10.2.3</t>
  </si>
  <si>
    <t>Verify that the OAuth client only requests the required scopes (or other authorization parameters) in requests to the authorization server.</t>
  </si>
  <si>
    <t>No OAuth client with scope requests.</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</si>
  <si>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</si>
  <si>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</si>
  <si>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</si>
  <si>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</si>
  <si>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JWT aud claim validated on each request against configured audience.</t>
  </si>
  <si>
    <t>V10.3.2</t>
  </si>
  <si>
    <t>Verify that the resource server enforces authorization decisions based on claims from the access token that define delegated authorization. If claims such as 'sub', 'scope', and 'authorization_details' are present, they must be part of the decision.</t>
  </si>
  <si>
    <t>Authorization decisions based on JWT sub, role claims extracted into SecurityContext.</t>
  </si>
  <si>
    <t>JwtAuthenticationFilter.java; SR-02</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</si>
  <si>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</si>
  <si>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</si>
  <si>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User identity from iss + sub combination (non-reassignable).</t>
  </si>
  <si>
    <t>JwtService.java; SR-08</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</si>
  <si>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</si>
  <si>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</si>
  <si>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No acr/amr/auth_time claim validation for auth strength verification.</t>
  </si>
  <si>
    <t>Improvement: validate OIDC claims for step-up auth. SR-01</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</si>
  <si>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</si>
  <si>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</si>
  <si>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No sender-constrained tokens (mTLS binding or DPoP).</t>
  </si>
  <si>
    <t>Risk: token theft and replay. Improvement: bind tokens to client certificate. SR-03</t>
  </si>
  <si>
    <t>V10.4</t>
  </si>
  <si>
    <t>OAuth Authorization Server</t>
  </si>
  <si>
    <t>V10.4.1</t>
  </si>
  <si>
    <t>Verify that the authorization server validates redirect URIs based on a client-specific allowlist of pre-registered URIs using exact string comparison.</t>
  </si>
  <si>
    <t>Internal JWT issuer. No redirect URI flow.</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</si>
  <si>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</si>
  <si>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</si>
  <si>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No OAuth authorization code flow.</t>
  </si>
  <si>
    <t>V10.4.3</t>
  </si>
  <si>
    <t>Verify that the authorization code is short-lived. The maximum lifetime can be up to 10 minutes for L1 and L2 applications and up to 1 minute for L3 applications.</t>
  </si>
  <si>
    <t>No auth code flow.</t>
  </si>
  <si>
    <t>V10.4.4</t>
  </si>
  <si>
    <t>Verify that for a given client, the authorization server only allows the usage of grants that this client needs to use. Note that the grants 'token' (Implicit flow) and 'password' (Resource Owner Password Credentials flow) must no longer be used.</t>
  </si>
  <si>
    <t>Only JWT bearer grants used. No Implicit or Resource Owner Password Credentials flow.</t>
  </si>
  <si>
    <t>AuthController.java; SR-03</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</si>
  <si>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</si>
  <si>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</si>
  <si>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No refresh token mechanism implemented. JWTs have fixed expiry.</t>
  </si>
  <si>
    <t>Risk: long-lived tokens. Improvement: add refresh token rotation. SR-03</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</si>
  <si>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</si>
  <si>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</si>
  <si>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No code grant flow. PKCE not applicable.</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</si>
  <si>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</si>
  <si>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</si>
  <si>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No dynamic client registration.</t>
  </si>
  <si>
    <t>V10.4.8</t>
  </si>
  <si>
    <t>Verify that refresh tokens have an absolute expiration, including if sliding refresh token expiration is applied.</t>
  </si>
  <si>
    <t>No refresh tokens. Absolute JWT expiration only.</t>
  </si>
  <si>
    <t>Same as V10.4.5</t>
  </si>
  <si>
    <t>V10.4.9</t>
  </si>
  <si>
    <t>Verify that refresh tokens and reference access tokens can be revoked by an authorized user using the authorization server user interface, to mitigate the risk of malicious clients or stolen tokens.</t>
  </si>
  <si>
    <t>No token revocation endpoint for users.</t>
  </si>
  <si>
    <t>Improvement: POST /auth/revoke for self-service token invalidation</t>
  </si>
  <si>
    <t>V10.4.10</t>
  </si>
  <si>
    <t>Verify that confidential client is authenticated for client-to-authorized server backchannel requests such as token requests, pushed authorization requests (PAR), and token revocation requests.</t>
  </si>
  <si>
    <t>No backchannel flows. Machines use mTLS.</t>
  </si>
  <si>
    <t>V10.4.11</t>
  </si>
  <si>
    <t>Verify that the authorization server configuration only assigns the required scopes to the OAuth client.</t>
  </si>
  <si>
    <t>Minimal scopes: CUSTOMER, OPERATOR, ADMINISTRATOR mapped to Spring Security roles.</t>
  </si>
  <si>
    <t>SecurityConfig.java; SR-02</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</si>
  <si>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</si>
  <si>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</si>
  <si>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No response_mode parameter in JWT bearer model.</t>
  </si>
  <si>
    <t>V10.4.13</t>
  </si>
  <si>
    <t>Verify that grant type 'code' is always used together with pushed authorization requests (PAR).</t>
  </si>
  <si>
    <t>No code grant.</t>
  </si>
  <si>
    <t>V10.4.14</t>
  </si>
  <si>
    <t>Verify that the authorization server issues only sender-constrained (Proof-of-Possession) access tokens, either with certificate-bound access tokens using mutual TLS (mTLS) or DPoP-bound access tokens (Demonstration of Proof of Possession).</t>
  </si>
  <si>
    <t>No sender-constrained (PoP) tokens.</t>
  </si>
  <si>
    <t>See V10.3.5</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</si>
  <si>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</si>
  <si>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</si>
  <si>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JWT bearer model. No authorization_details.</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</si>
  <si>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</si>
  <si>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</si>
  <si>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mTLS for machine clients via X509MachineAuthenticationFilter. Strong client authentication.</t>
  </si>
  <si>
    <t>X509MachineAuthenticationFilter.java; NFR-15</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</si>
  <si>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</si>
  <si>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</si>
  <si>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</si>
  <si>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</si>
  <si>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No OIDC nonce validation for ID token replay prevention.</t>
  </si>
  <si>
    <t>Risk: ID token replay. Improvement: implement nonce if OIDC added</t>
  </si>
  <si>
    <t>V10.5.2</t>
  </si>
  <si>
    <t>Verify that the client uniquely identifies the user from ID Token claims, usually the 'sub' claim, which cannot be reassigned to other users (for the scope of an identity provider).</t>
  </si>
  <si>
    <t>User identity from JWT sub claim (non-reassignable).</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</si>
  <si>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</si>
  <si>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</si>
  <si>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Issuer URL hardcoded in application.properties. Metadata validation enforced.</t>
  </si>
  <si>
    <t>application.properties; SR-03</t>
  </si>
  <si>
    <t>V10.5.4</t>
  </si>
  <si>
    <t>Verify that the client validates that the ID Token is intended to be used for that client (audience) by checking that the 'aud' claim from the token is equal to the 'client_id' value for the client.</t>
  </si>
  <si>
    <t>JWT aud claim validated per application configuration.</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</si>
  <si>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</si>
  <si>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</si>
  <si>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No OIDC back-channel logout implemented.</t>
  </si>
  <si>
    <t>Not applicable to current JWT bearer model</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</si>
  <si>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</si>
  <si>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</si>
  <si>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</si>
  <si>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</si>
  <si>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JWT bearer token model (equivalent to code flow). No Implicit flow.</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</si>
  <si>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</si>
  <si>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</si>
  <si>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No forced logout or id_token_hint validation.</t>
  </si>
  <si>
    <t>Not applicable to JWT bearer</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</si>
  <si>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</si>
  <si>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</si>
  <si>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</si>
  <si>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</si>
  <si>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No OAuth authorization server consent flow.</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</si>
  <si>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</si>
  <si>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</si>
  <si>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No OAuth consent prompts.</t>
  </si>
  <si>
    <t>V10.7.3</t>
  </si>
  <si>
    <t>Verify that the user can review, modify, and revoke consents which the user has granted through the authorization server.</t>
  </si>
  <si>
    <t>No user consent management for active sessions/tokens.</t>
  </si>
  <si>
    <t>Improvement: add session management UI. SR-05</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</si>
  <si>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</si>
  <si>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</si>
  <si>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</si>
  <si>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</si>
  <si>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Key management: JWT HS256 (&gt;=256-bit), mTLS ECC, AES-256-GCM backups, HMAC-SHA256 webhooks. Documented in SR-04,SR-20.</t>
  </si>
  <si>
    <t>application.properties; SR-04,SR-20</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</si>
  <si>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</si>
  <si>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</si>
  <si>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Crypto inventory identified: JWT HS256, BCrypt(12), AES-256-GCM, HMAC-SHA256, TLS 1.2+, mTLS ECC.</t>
  </si>
  <si>
    <t>Code audit confirmed; SR-04,SR-18,SR-19</t>
  </si>
  <si>
    <t>V11.1.3</t>
  </si>
  <si>
    <t>Verify that cryptographic discovery mechanisms are employed to identify all instances of cryptography in the system, including encryption, hashing, and signing operations.</t>
  </si>
  <si>
    <t>Crypto API usage identified via code scan (Semgrep crypto rules + manual review).</t>
  </si>
  <si>
    <t>Semgrep crypto rules; code review</t>
  </si>
  <si>
    <t>V11.1.4</t>
  </si>
  <si>
    <t>Verify that a cryptographic inventory is maintained. This must include a documented plan that outlines the migration path to new cryptographic standards, such as post-quantum cryptography, in order to react to future threats.</t>
  </si>
  <si>
    <t>No post-quantum cryptography migration plan documented.</t>
  </si>
  <si>
    <t>Risk: crypto not future-proofed. Improvement: document PQC migration timeline. SR-04</t>
  </si>
  <si>
    <t>V11.2</t>
  </si>
  <si>
    <t>Secure Cryptography Implementation</t>
  </si>
  <si>
    <t>V11.2.1</t>
  </si>
  <si>
    <t>Verify that industry-validated implementations (including libraries and hardware-accelerated implementations) are used for cryptographic operations.</t>
  </si>
  <si>
    <t>Spring Security, Java crypto providers (SunJCE), JJWT library — all industry-standard. Bouncy Castle NOT a dependency (contrary to Phase 1 claim).</t>
  </si>
  <si>
    <t>pom.xml dependencies</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</si>
  <si>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</si>
  <si>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</si>
  <si>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Algorithm selection via application.properties. Spring Security abstraction enables algorithm swaps.</t>
  </si>
  <si>
    <t>application.properties; SR-04</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</si>
  <si>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</si>
  <si>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</si>
  <si>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HS256 (256-bit key), AES-256-GCM (256-bit), BCrypt work factor 12 (2^12=4096 rounds), mTLS ECC 256-bit. All &gt;=128-bit security margin.</t>
  </si>
  <si>
    <t>BackupServiceImpl.java:276-299; SecurityConfig.java:95-96; JwtService.java:31</t>
  </si>
  <si>
    <t>V11.2.4</t>
  </si>
  <si>
    <t>Verify that all cryptographic operations are constant-time, with no 'short-circuit' operations in comparisons, calculations, or returns, to avoid leaking information.</t>
  </si>
  <si>
    <t>BCrypt inherently constant-time. JWT comparison via JJWT library. No custom comparison code that could leak timing.</t>
  </si>
  <si>
    <t>Risk: if custom comparison added, could leak. Currently safe via library usage. SR-04</t>
  </si>
  <si>
    <t>V11.2.5</t>
  </si>
  <si>
    <t>Verify that all cryptographic modules fail securely, and errors are handled in a way that does not enable vulnerabilities, such as Padding Oracle attacks.</t>
  </si>
  <si>
    <t>Java crypto provider throws exceptions on invalid padding. No error details leaked to client via GlobalExceptionHandler:132-143 generic fallback.</t>
  </si>
  <si>
    <t>GlobalExceptionHandler.java:132-143</t>
  </si>
  <si>
    <t>V11.3</t>
  </si>
  <si>
    <t>Encryption Algorithms</t>
  </si>
  <si>
    <t>V11.3.1</t>
  </si>
  <si>
    <t>Verify that insecure block modes (e.g., ECB) and weak padding schemes (e.g., PKCS#1 v1.5) are not used.</t>
  </si>
  <si>
    <t>AES-256-GCM for backups. No ECB mode anywhere. GCM provides authenticated encryption.</t>
  </si>
  <si>
    <t>BackupServiceImpl.java:276-299; SR-14</t>
  </si>
  <si>
    <t>V11.3.2</t>
  </si>
  <si>
    <t>Verify that only approved ciphers and modes such as AES with GCM are used.</t>
  </si>
  <si>
    <t>AES-256-GCM backups. HMAC-SHA256 webhooks. TLS 1.2+ transit.</t>
  </si>
  <si>
    <t>BackupServiceImpl.java; PaymentGatewayServiceImpl.java:46-67</t>
  </si>
  <si>
    <t>V11.3.3</t>
  </si>
  <si>
    <t>Verify that encrypted data is protected against unauthorized modification preferably by using an approved authenticated encryption method or by combining an approved encryption method with an approved MAC algorithm.</t>
  </si>
  <si>
    <t>AES-GCM provides authenticated encryption. HMAC-SHA256 on webhook payloads provides integrity with constant-time comparison via MessageDigest.isEqual().</t>
  </si>
  <si>
    <t>BackupServiceImpl.java; PaymentGatewayServiceImpl.java:60-62</t>
  </si>
  <si>
    <t>V11.3.4</t>
  </si>
  <si>
    <t>Verify that nonces, initialization vectors, and other single-use numbers are not used for more than one encryption key and data-element pair. The method of generation must be appropriate for the algorithm being used.</t>
  </si>
  <si>
    <t>GCM IV 12 bytes via SecureRandom per encryption. BackupServiceImpl.java:277-279. IV never reused for same key+data pair.</t>
  </si>
  <si>
    <t>BackupServiceImpl.java:277-279; SR-14</t>
  </si>
  <si>
    <t>V11.3.5</t>
  </si>
  <si>
    <t>Verify that any combination of an encryption algorithm and a MAC algorithm is operating in encrypt-then-MAC mode.</t>
  </si>
  <si>
    <t>AES-GCM is encrypt-then-authenticate internally. JWT uses HMAC over full payload.</t>
  </si>
  <si>
    <t>BackupServiceImpl.java; JwtService.java; SR-04,SR-19</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</si>
  <si>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</si>
  <si>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</si>
  <si>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</si>
  <si>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</si>
  <si>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SHA-256 for HMAC webhooks. BCrypt for passwords. MD5/SHA1 excluded from all crypto operations.</t>
  </si>
  <si>
    <t>PaymentGatewayServiceImpl.java:51; SecurityConfig.java:95-96</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</si>
  <si>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</si>
  <si>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</si>
  <si>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BCryptPasswordEncoder(12) at SecurityConfig.java:95-96. Work factor 12 = 2^12 = 4,096 rounds. OWASP minimum is 10.</t>
  </si>
  <si>
    <t>SecurityConfig.java:95-96; NFR-05</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</si>
  <si>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</si>
  <si>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</si>
  <si>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SHA-256 (256-bit) for HMAC. Collision-resistant. JWT signed with HS256 (HMAC-SHA256).</t>
  </si>
  <si>
    <t>JwtService.java; SR-04,SR-19</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</si>
  <si>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</si>
  <si>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</si>
  <si>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PBKDF2 not used for password-derived keys. BCrypt used for password storage but not for key derivation.</t>
  </si>
  <si>
    <t>Risk: if password-derived encryption keys added, weak KDF could compromise. Current scope doesn't need this. SR-04</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</si>
  <si>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</si>
  <si>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</si>
  <si>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</si>
  <si>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</si>
  <si>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java.security.SecureRandom for TOTP seeds (AuthService.java:250-254), GCM IVs (BackupServiceImpl.java:277), tokens. All &gt;=128 bits entropy.</t>
  </si>
  <si>
    <t>AuthService.java:250-254; BackupServiceImpl.java:277; SR-01,SR-04</t>
  </si>
  <si>
    <t>V11.5.2</t>
  </si>
  <si>
    <t>Verify that the random number generation mechanism in use is designed to work securely, even under heavy demand.</t>
  </si>
  <si>
    <t>Java SecureRandom backed by OS entropy source (/dev/urandom on Linux). No state exhaustion risk on modern JVM.</t>
  </si>
  <si>
    <t>JVM SecureRandom via NativePRNG</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</si>
  <si>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</si>
  <si>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</si>
  <si>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</si>
  <si>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</si>
  <si>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mTLS uses industry-standard PKI with NIST curves. Key generation via OpenSSL/Java KeyGen.</t>
  </si>
  <si>
    <t>X509MachineAuthenticationFilter.java; SR-18</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</si>
  <si>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</si>
  <si>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</si>
  <si>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TLS 1.2+ enforces ECDHE with forward secrecy at reverse proxy. Weak DH ciphers disabled.</t>
  </si>
  <si>
    <t>Reverse proxy TLS configuration; SR-17</t>
  </si>
  <si>
    <t>V11.7</t>
  </si>
  <si>
    <t>In-Use Data Cryptography</t>
  </si>
  <si>
    <t>V11.7.1</t>
  </si>
  <si>
    <t>Verify that full memory encryption is in use that protects sensitive data while it is in use, preventing access by unauthorized users or processes.</t>
  </si>
  <si>
    <t>In-memory encryption not practical for REST API application. OS-level memory protection (ASLR, NX) relied upon.</t>
  </si>
  <si>
    <t>JVM on Linux with ASLR</t>
  </si>
  <si>
    <t>V11.7.2</t>
  </si>
  <si>
    <t>Verify that data minimization ensures the minimal amount of data is exposed during processing, and ensure that data is encrypted immediately after use or as soon as feasible.</t>
  </si>
  <si>
    <t>BCrypt passwords before storage (not reversible). DTO responses exclude sensitive fields (passwordHash). EXIF stripped from uploaded images.</t>
  </si>
  <si>
    <t>UserResponseDto.java; ExifStripper.java; SR-16,SR-45</t>
  </si>
  <si>
    <t>V12.1</t>
  </si>
  <si>
    <t>General TLS Security Guidance</t>
  </si>
  <si>
    <t>V12.1.1</t>
  </si>
  <si>
    <t>Verify that only the latest recommended versions of the TLS protocol are enabled, such as TLS 1.2 and TLS 1.3. The latest version of the TLS protocol must be the preferred option.</t>
  </si>
  <si>
    <t>No server.ssl.enabled-protocols in any .properties file. TLS at reverse proxy only.</t>
  </si>
  <si>
    <t>Risk: plain HTTP if proxy misconfigured. Improvement: add server.ssl.* for defense-in-depth. SR-17</t>
  </si>
  <si>
    <t>V12.1.2</t>
  </si>
  <si>
    <t>Verify that only recommended cipher suites are enabled, with the strongest cipher suites set as preferred. L3 applications must only support cipher suites which provide forward secrecy.</t>
  </si>
  <si>
    <t>Cipher suites at reverse proxy. No explicit config in application.</t>
  </si>
  <si>
    <t>Improvement: configure server.ssl.ciphers explicitly. SR-17</t>
  </si>
  <si>
    <t>V12.1.3</t>
  </si>
  <si>
    <t>Verify that the application validates that mTLS client certificates are trusted before using the certificate identity for authentication or authorization.</t>
  </si>
  <si>
    <t>App logic exists: X509MachineAuthenticationFilter.java:34-54 extracts X.509 cert, validates CN, sets ROLE_MACHINE. BUT: no server.ssl.client-auth=need or keystore in properties. allowHeaderCn dev flag bypasses real mTLS.</t>
  </si>
  <si>
    <t>X509MachineAuthenticationFilter.java:34-54. Gap: no transport-level mTLS config. SR-18,SR-22</t>
  </si>
  <si>
    <t>V12.1.4</t>
  </si>
  <si>
    <t>Verify that proper certification revocation, such as Online Certificate Status Protocol (OCSP) Stapling, is enabled and configured.</t>
  </si>
  <si>
    <t>No CRL/OCSP revocation checking for machine certificates.</t>
  </si>
  <si>
    <t>Risk: revoked certs still trusted. Improvement: implement CRL in trust manager. SR-22</t>
  </si>
  <si>
    <t>V12.1.5</t>
  </si>
  <si>
    <t>Verify that Encrypted Client Hello (ECH) is enabled in the application's TLS settings to prevent exposure of sensitive metadata, such as the Server Name Indication (SNI), during TLS handshake processes.</t>
  </si>
  <si>
    <t>ECH not required for internal API. SNI exposure acceptable for trusted endpoints.</t>
  </si>
  <si>
    <t>V12.2</t>
  </si>
  <si>
    <t>HTTPS Communication with External Facing Services</t>
  </si>
  <si>
    <t>V12.2.1</t>
  </si>
  <si>
    <t>Verify that TLS is used for all connectivity between a client and external facing, HTTP-based services, and does not fall back to insecure or unencrypted communications.</t>
  </si>
  <si>
    <t>HTTPS at reverse proxy only. No HTTPS redirect in Spring Boot.</t>
  </si>
  <si>
    <t>Risk: plain HTTP accepted if proxy bypassed. Improvement: add requiresChannel() HTTPS redirect</t>
  </si>
  <si>
    <t>V12.2.2</t>
  </si>
  <si>
    <t>Verify that external facing services use publicly trusted TLS certificates.</t>
  </si>
  <si>
    <t>Payment Gateway TLS validation via HttpClient. Cert pinning not implemented.</t>
  </si>
  <si>
    <t>Risk: trusted CA compromise. Improvement: pin Payment Gateway certificate</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</si>
  <si>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</si>
  <si>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</si>
  <si>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</si>
  <si>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</si>
  <si>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MySQL TLS planned (sslMode=REQUIRED in docs) but not verified in active configuration.</t>
  </si>
  <si>
    <t>Risk: plaintext DB traffic in some environments. Improvement: enforce TLS for MySQL in all profiles</t>
  </si>
  <si>
    <t>V12.3.2</t>
  </si>
  <si>
    <t>Verify that TLS clients validate certificates received before communicating with a TLS server.</t>
  </si>
  <si>
    <t>HttpClient cert validation configured. No explicit test verifying validation behavior.</t>
  </si>
  <si>
    <t>Improvement: add integration test for TLS validation. SR-35</t>
  </si>
  <si>
    <t>V12.3.3</t>
  </si>
  <si>
    <t>Verify that TLS or another appropriate transport encryption mechanism used for all connectivity between internal, HTTP-based services within the application, and does not fall back to insecure or unencrypted communications.</t>
  </si>
  <si>
    <t>Internal MySQL TLS not enforced at application config level.</t>
  </si>
  <si>
    <t>See V12.3.1</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</si>
  <si>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</si>
  <si>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</si>
  <si>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Machine mTLS certs from internal CA. TrustStore not restricted to internal CA only.</t>
  </si>
  <si>
    <t>Risk: other CAs trusted. Improvement: restrict TrustStore to internal CA. SR-18,SR-21,SR-22</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</si>
  <si>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</si>
  <si>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</si>
  <si>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mTLS for machine-to-API only. No full service mesh.</t>
  </si>
  <si>
    <t>Risk: lateral movement. Improvement: full service mesh with mTLS. SR-18,SR-23</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</si>
  <si>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</si>
  <si>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</si>
  <si>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</si>
  <si>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</si>
  <si>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Communication needs not formally documented in a single place.</t>
  </si>
  <si>
    <t>Improvement: create network communication document listing all external services. SR-21,SR-22</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</si>
  <si>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</si>
  <si>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</si>
  <si>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Connection pool limits not formally documented per service.</t>
  </si>
  <si>
    <t>Not applicable — not using external connection pools beyond DB</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</si>
  <si>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</si>
  <si>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</si>
  <si>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Resource management strategies not formally documented.</t>
  </si>
  <si>
    <t>Improvement: document timeout/retry/backoff for Payment Gateway and DB connections. SR-36</t>
  </si>
  <si>
    <t>V13.1.4</t>
  </si>
  <si>
    <t>Verify that the application's documentation defines the secrets that are critical for the security of the application and a schedule for rotating them, based on the organization's threat model and business requirements.</t>
  </si>
  <si>
    <t>Secret rotation schedule not formally documented with specific dates/intervals.</t>
  </si>
  <si>
    <t>Improvement: document rotation schedule for JWT keys, HMAC secrets, DB credentials. SR-30,SR-04</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</si>
  <si>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</si>
  <si>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</si>
  <si>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</si>
  <si>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</si>
  <si>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mTLS for machines (short-term via session). JWT for users (short-term). DB uses credentials (not short-term tokens).</t>
  </si>
  <si>
    <t>Improvement: move DB to certificate-based auth or short-lived tokens. SR-18,SR-22</t>
  </si>
  <si>
    <t>V13.2.2</t>
  </si>
  <si>
    <t>Verify that communications between backend application components, including local or operating system services, APIs, middleware, and data layers, are performed with accounts assigned the least necessary privileges.</t>
  </si>
  <si>
    <t>Least privilege: vendnet_app MySQL user has DML-only grants (no DDL). RBAC enforces minimum roles per endpoint.</t>
  </si>
  <si>
    <t>MySQL user permissions; SR-02,SR-12</t>
  </si>
  <si>
    <t>V13.2.3</t>
  </si>
  <si>
    <t>Verify that if a credential has to be used for service authentication, the credential being used by the consumer is not a default credential (e.g., root/root or admin/admin).</t>
  </si>
  <si>
    <t>No default credentials. All secrets via environment variables with placeholder defaults.</t>
  </si>
  <si>
    <t>application.properties ${ENV_VAR} placeholders; SR-11</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</si>
  <si>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</si>
  <si>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</si>
  <si>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No allowlist for external resources the app can communicate with beyond Payment Gateway URL.</t>
  </si>
  <si>
    <t>Risk: if app compromised, could exfiltrate to arbitrary hosts. Improvement: network egress allowlist at firewall</t>
  </si>
  <si>
    <t>V13.2.5</t>
  </si>
  <si>
    <t>Verify that the web or application server is configured with an allowlist of resources or systems to which the server can send requests or load data or files from.</t>
  </si>
  <si>
    <t>No resource allowlist configured at application server level.</t>
  </si>
  <si>
    <t>See V13.2.4</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</si>
  <si>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</si>
  <si>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</si>
  <si>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Not using separate connection services beyond DB and Payment Gateway.</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</si>
  <si>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</si>
  <si>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</si>
  <si>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</si>
  <si>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</si>
  <si>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Secrets in environment variables (${MYSQL_*}, ${JWT_*}). Gitleaks in CI + pre-commit hook detects committed secrets. No dedicated vault (Hashicorp Vault, AWS Secrets Manager).</t>
  </si>
  <si>
    <t>.github/workflows/vendnet-ci-cd.yml secret-detect; .pre-commit-config.yaml. Gap: no secrets vault. SR-11,SR-30</t>
  </si>
  <si>
    <t>V13.3.2</t>
  </si>
  <si>
    <t>Verify that access to secret assets adheres to the principle of least privilege.</t>
  </si>
  <si>
    <t>Environment variables accessible to application process. No granular secret access control beyond OS user.</t>
  </si>
  <si>
    <t>Improvement: use secrets manager with per-secret access policies. SR-12,SR-30</t>
  </si>
  <si>
    <t>V13.3.3</t>
  </si>
  <si>
    <t>Verify that all cryptographic operations are performed using an isolated security module (such as a vault or hardware security module) to securely manage and protect key material from exposure outside of the security module.</t>
  </si>
  <si>
    <t>Cryptographic operations not performed in isolated security module (HSM or vault). Keys in application memory.</t>
  </si>
  <si>
    <t>Risk: memory dump could expose keys. Improvement: use HSM or cloud KMS for key ops</t>
  </si>
  <si>
    <t>V13.3.4</t>
  </si>
  <si>
    <t>Verify that secrets are configured to expire and be rotated based on the application's documentation.</t>
  </si>
  <si>
    <t>No automated secret rotation. Keys rotated manually on documented schedule (90 days for JWT).</t>
  </si>
  <si>
    <t>Improvement: automate rotation with secrets manager. SR-30,SR-04</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</si>
  <si>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</si>
  <si>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</si>
  <si>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</si>
  <si>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</si>
  <si>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.git excluded from Docker image via .dockerignore. Dockerfile uses multi-stage build (only JAR copied to runtime).</t>
  </si>
  <si>
    <t>vendnet/.dockerignore; vendnet/Dockerfile</t>
  </si>
  <si>
    <t>V13.4.2</t>
  </si>
  <si>
    <t>Verify that debug modes are disabled for all components in production environments to prevent exposure of debugging features and information leakage.</t>
  </si>
  <si>
    <t>spring.profiles.active=prod disables debug. logging.level.root=INFO. spring.security.debug=false (default). server.error.include-stacktrace=never.</t>
  </si>
  <si>
    <t>application-prod.properties; application.properties:22-25; SR-46</t>
  </si>
  <si>
    <t>V13.4.3</t>
  </si>
  <si>
    <t>Verify that web servers do not expose directory listings to clients unless explicitly intended.</t>
  </si>
  <si>
    <t>Directory listing not explicitly disabled in web server config.</t>
  </si>
  <si>
    <t>Improvement: configure Tomcat/Spring Boot to disable directory listing</t>
  </si>
  <si>
    <t>V13.4.4</t>
  </si>
  <si>
    <t>Verify that using the HTTP TRACE method is not supported in production environments, to avoid potential information leakage.</t>
  </si>
  <si>
    <t>HTTP TRACE disabled by default in Spring Boot Tomcat.</t>
  </si>
  <si>
    <t>Tomcat default configuration; SR-17,SR-46</t>
  </si>
  <si>
    <t>V13.4.5</t>
  </si>
  <si>
    <t>Verify that documentation (such as for internal APIs) and monitoring endpoints are not exposed unless explicitly intended.</t>
  </si>
  <si>
    <t>@PreAuthorize on all admin/monitoring endpoints. Swagger UI behind auth. Actuator health publicly accessible (intentional).</t>
  </si>
  <si>
    <t>SecurityConfig.java; SR-02,SR-06</t>
  </si>
  <si>
    <t>V13.4.6</t>
  </si>
  <si>
    <t>Verify that the application does not expose detailed version information of backend components.</t>
  </si>
  <si>
    <t>Server header exposes Tomcat version. No server.error.include-exception in prod but version info may leak via other means.</t>
  </si>
  <si>
    <t>Improvement: configure server.tomcat.server-header to remove version. SR-46</t>
  </si>
  <si>
    <t>V13.4.7</t>
  </si>
  <si>
    <t>Verify that the web tier is configured to only serve files with specific file extensions to prevent unintentional information, configuration, and source code leakage.</t>
  </si>
  <si>
    <t>Web tier not configured to restrict file extensions served.</t>
  </si>
  <si>
    <t>Improvement: configure allowlist of served file extensions. SR-27,SR-46</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</si>
  <si>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</si>
  <si>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</si>
  <si>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</si>
  <si>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</si>
  <si>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Sensitive data identified: passwords (BCrypt hashed), JWT secrets, payment info, PII. Classified in Phase 1 SRs.</t>
  </si>
  <si>
    <t>SR-13,SR-14</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</si>
  <si>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</si>
  <si>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</si>
  <si>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Protection levels partially defined in SRs. No formal data classification document with per-level encryption, retention, access, and logging requirements.</t>
  </si>
  <si>
    <t>Improvement: create formal data classification schema. SR-13,SR-14,SR-41</t>
  </si>
  <si>
    <t>V14.2</t>
  </si>
  <si>
    <t>General Data Protection</t>
  </si>
  <si>
    <t>V14.2.1</t>
  </si>
  <si>
    <t>Verify that sensitive data is only sent to the server in the HTTP message body or header fields, and that the URL and query string do not contain sensitive information, such as an API key or session token.</t>
  </si>
  <si>
    <t>JWT in Authorization header. Passwords in POST body. Payment info in request body. No sensitive data in URL/query strings.</t>
  </si>
  <si>
    <t>SR-03,SR-24</t>
  </si>
  <si>
    <t>V14.2.2</t>
  </si>
  <si>
    <t>Verify that the application prevents sensitive data from being cached in server components, such as load balancers and application caches, or ensures that the data is securely purged after use.</t>
  </si>
  <si>
    <t>Spring Security default: Cache-Control: no-cache, no-store, must-revalidate on all authenticated responses.</t>
  </si>
  <si>
    <t>SecurityConfig.java defaults</t>
  </si>
  <si>
    <t>V14.2.3</t>
  </si>
  <si>
    <t>Verify that defined sensitive data is not sent to untrusted parties (e.g., user trackers) to prevent unwanted collection of data outside of the application's control.</t>
  </si>
  <si>
    <t>No third-party trackers. Only Payment Gateway and MySQL receive data.</t>
  </si>
  <si>
    <t>SR-19</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</si>
  <si>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</si>
  <si>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</si>
  <si>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BCrypt for passwords. AES-256-GCM for backups. @JsonIgnore for DTO fields. EXIF stripped from images.</t>
  </si>
  <si>
    <t>SecurityConfig.java:95-96; BackupServiceImpl.java:276-299; ExifStripper.java; SR-13,SR-14</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</si>
  <si>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</si>
  <si>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</si>
  <si>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t>No explicit cache content-type validation. Currently no CDN in front of API.</t>
  </si>
  <si>
    <t>Risk: if CDN added without config. Improve: validate Content-Type before caching</t>
  </si>
  <si>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</si>
  <si>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</si>
  <si>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Passwords excluded from all API responses. PII in DTOs only as needed.</t>
  </si>
  <si>
    <t>V14.2.7</t>
  </si>
  <si>
    <t>Verify that sensitive information is subject to data retention classification, ensuring that outdated or unnecessary data is deleted automatically, on a defined schedule, or as the situation requires.</t>
  </si>
  <si>
    <t>Backup rotation (30 days via BackupServiceImpl). Audit log rotation (90 days via AuditLogRotationServiceImpl). No formal PII retention schedule.</t>
  </si>
  <si>
    <t>BackupServiceImpl.java; AuditLogRotationServiceImpl.java. Gap: PII retention policy. NFR-12</t>
  </si>
  <si>
    <t>V14.2.8</t>
  </si>
  <si>
    <t>Verify that sensitive information is removed from the metadata of user-submitted files unless storage is consented to by the user.</t>
  </si>
  <si>
    <t>EXIF metadata stripped from uploaded product images via ExifStripper.stripExif() reading into BufferedImage and re-writing via ImageIO.write().</t>
  </si>
  <si>
    <t>ExifStripper.java; FileStorageServiceImpl.java:62; SR-26</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</si>
  <si>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</si>
  <si>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</si>
  <si>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</si>
  <si>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</si>
  <si>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t>REST API. Clear-Site-Data not applicable.</t>
  </si>
  <si>
    <t>V14.3.2</t>
  </si>
  <si>
    <t>Verify that the application sets sufficient anti-caching HTTP response header fields (i.e., Cache-Control: no-store) so that sensitive data is not cached in browsers.</t>
  </si>
  <si>
    <t>Spring Security default anti-caching headers for authenticated endpoints.</t>
  </si>
  <si>
    <t>SecurityConfig.java; SR-46</t>
  </si>
  <si>
    <t>V14.3.3</t>
  </si>
  <si>
    <t>Verify that data stored in browser storage (such as localStorage, sessionStorage, IndexedDB, or cookies) does not contain sensitive data, with the exception of session tokens.</t>
  </si>
  <si>
    <t>JWT in Authorization header, not browser storage (localStorage/sessionStorage).</t>
  </si>
  <si>
    <t>Stateless JWT; SR-37</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</si>
  <si>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</si>
  <si>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</si>
  <si>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</si>
  <si>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</si>
  <si>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Risk-based remediation timeframes not formally documented. Dependabot handles updates but SLA not defined.</t>
  </si>
  <si>
    <t>Improvement: document SLA for critical/high CVE remediation. SR-33,SR-34</t>
  </si>
  <si>
    <t>V15.1.2</t>
  </si>
  <si>
    <t>Verify that an inventory catalog, such as software bill of materials (SBOM), is maintained of all third-party libraries in use, including verifying that components come from pre-defined, trusted, and continually maintained repositories.</t>
  </si>
  <si>
    <t>CycloneDX SBOM generated at package phase (vendnet-sbom.json). Dependencies from Maven Central only. OWASP Dependency-Check scans for known CVEs.</t>
  </si>
  <si>
    <t>pom.xml cyclonedx-maven-plugin; CI sca job; SR-32,SR-34</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</si>
  <si>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</si>
  <si>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</si>
  <si>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Time-consuming functionality not formally documented with prevention strategies.</t>
  </si>
  <si>
    <t>Improvement: document backup/report generation async patterns and rate limits. SR-36,SR-31</t>
  </si>
  <si>
    <t>V15.1.4</t>
  </si>
  <si>
    <t>Verify that application documentation highlights third-party libraries which are considered to be "risky components".</t>
  </si>
  <si>
    <t>Risky third-party libraries not formally highlighted in documentation.</t>
  </si>
  <si>
    <t>Improvement: maintain risk register for dependencies. SR-32,SR-33</t>
  </si>
  <si>
    <t>V15.1.5</t>
  </si>
  <si>
    <t>Verify that application documentation highlights parts of the application where "dangerous functionality" is being used.</t>
  </si>
  <si>
    <t>Dangerous functionality (ProcessBuilder, file I/O) not formally documented with mitigation strategies.</t>
  </si>
  <si>
    <t>Improvement: document sandboxing and validation for OS/file operations. SR-35,SR-36</t>
  </si>
  <si>
    <t>V15.2</t>
  </si>
  <si>
    <t>Security Architecture and Dependencies</t>
  </si>
  <si>
    <t>V15.2.1</t>
  </si>
  <si>
    <t>Verify that the application only contains components which have not breached the documented update and remediation time frames.</t>
  </si>
  <si>
    <t>Dependabot ensures components updated within remediation windows. Maven Enforcer blocks SNAPSHOT deps.</t>
  </si>
  <si>
    <t>.github/dependabot.yml; CI enforcer; SR-33,SR-34</t>
  </si>
  <si>
    <t>V15.2.2</t>
  </si>
  <si>
    <t>Verify that the application has implemented defenses against loss of availability due to functionality which is time-consuming or resource-demanding, based on the documented security decisions and strategies for this.</t>
  </si>
  <si>
    <t>Circuit breaker for Payment Gateway (fallback to retry queue). Telemetry rate limiting (2 req/min). Request size limits via Tomcat.</t>
  </si>
  <si>
    <t>PaymentGatewayServiceImpl; TelemetryService.java:95-110; application.properties; SR-30,SR-36</t>
  </si>
  <si>
    <t>V15.2.3</t>
  </si>
  <si>
    <t>Verify that the production environment only includes functionality that is required for the application to function, and does not expose extraneous functionality such as test code, sample snippets, and development functionality.</t>
  </si>
  <si>
    <t>spring.profiles.active=prod excludes test/dev functionality. Spring Boot actuator endpoints auth-protected (except health). Not all dev endpoints verified as excluded.</t>
  </si>
  <si>
    <t>application-prod.properties; SecurityConfig.java. Improvement: audit for extraneous endpoints</t>
  </si>
  <si>
    <t>V15.2.4</t>
  </si>
  <si>
    <t>Verify that third-party components and all of their transitive dependencies are included from the expected repository, whether internally owned or an external source, and that there is no risk of a dependency confusion attack.</t>
  </si>
  <si>
    <t>No dependency confusion prevention beyond Maven Enforcer repository validation.</t>
  </si>
  <si>
    <t>Risk: dependency confusion attack. Improvement: verify artifact signatures, use private registry</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</si>
  <si>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</si>
  <si>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</si>
  <si>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Risky components (ProcessBuilder, file I/O) not formally sandboxed beyond path validation.</t>
  </si>
  <si>
    <t>Improvement: container-level isolation (seccomp, AppArmor profiles). SR-35,SR-36</t>
  </si>
  <si>
    <t>V15.3</t>
  </si>
  <si>
    <t>Defensive Coding</t>
  </si>
  <si>
    <t>V15.3.1</t>
  </si>
  <si>
    <t>Verify that the application only returns the required subset of fields from a data object. For example, it should not return an entire data object, as some individual fields should not be accessible to users.</t>
  </si>
  <si>
    <t>DTO projection pattern: dedicated response objects per endpoint. @JsonIgnore on sensitive fields. Only required fields returned.</t>
  </si>
  <si>
    <t>DTO classes; SR-16</t>
  </si>
  <si>
    <t>V15.3.2</t>
  </si>
  <si>
    <t>Verify that where the application backend makes calls to external URLs, it is configured to not follow redirects unless it is intended functionality.</t>
  </si>
  <si>
    <t>HttpClient configured to not follow redirects by default. Not explicitly tested.</t>
  </si>
  <si>
    <t>Risk: open redirect to malicious host. Improvement: disable redirect following, add test</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</si>
  <si>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</si>
  <si>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</si>
  <si>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fail-on-unknown-properties=true (application.properties:45) prevents mass assignment. Dedicated request DTOs per endpoint limit allowed fields.</t>
  </si>
  <si>
    <t>application.properties:45; DTO classes; SR-29,SR-28</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</si>
  <si>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</si>
  <si>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</si>
  <si>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Original client IP logged (via AuditLog entity) but not used for rate limiting or security decisions beyond logging.</t>
  </si>
  <si>
    <t>Improvement: use real client IP for rate limiting decisions (respect X-Forwarded-For). SR-37,SR-46</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</si>
  <si>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</si>
  <si>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</si>
  <si>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Java is statically typed. Jackson deserialization with explicit DTO types ensures correct types. No type juggling vulnerabilities.</t>
  </si>
  <si>
    <t>Java type system; Jackson with typed DTOs; SR-28</t>
  </si>
  <si>
    <t>V15.3.6</t>
  </si>
  <si>
    <t>Verify that JavaScript code is written in a way that prevents prototype pollution, for example, by using Set() or Map() instead of object literals.</t>
  </si>
  <si>
    <t>No JavaScript code in backend repository.</t>
  </si>
  <si>
    <t>V15.3.7</t>
  </si>
  <si>
    <t>Verify that the application has defenses against HTTP parameter pollution attacks, particularly if the application framework makes no distinction about the source of request parameters (query string, body parameters, cookies, or header fields).</t>
  </si>
  <si>
    <t>Spring Boot parameter binding uses explicit @RequestParam/@RequestBody with types. No ambiguous parameter sources.</t>
  </si>
  <si>
    <t>Controller method signatures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</si>
  <si>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</si>
  <si>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</si>
  <si>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</si>
  <si>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</si>
  <si>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Thread-safe types used implicitly (ConcurrentHashMap by Spring) but not formally verified for all shared objects.</t>
  </si>
  <si>
    <t>Risk: race condition in custom caches. Improvement: audit shared mutable state</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</si>
  <si>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</si>
  <si>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</si>
  <si>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@Transactional + @Lock(PESSIMISTIC_WRITE) on Slot purchase flow ensures atomic check-and-decrement preventing TOCTOU.</t>
  </si>
  <si>
    <t>JpaSlotRepository.java:20-31; SaleService.java; SR-15</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</si>
  <si>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</si>
  <si>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</si>
  <si>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Lock consistency not formally verified across all transactional flows.</t>
  </si>
  <si>
    <t>Risk: deadlock in complex transactions. Improvement: lock ordering audit</t>
  </si>
  <si>
    <t>V15.4.4</t>
  </si>
  <si>
    <t>Verify that resource allocation policies prevent thread starvation by ensuring fair access to resources, such as by leveraging thread pools, allowing lower-priority threads to proceed within a reasonable timeframe.</t>
  </si>
  <si>
    <t>Thread pool configuration exists (HikariCP 20 connections, Tomcat threads) but fair access not documented.</t>
  </si>
  <si>
    <t>Risk: thread starvation under load. Improvement: document thread pool sizing and fairness. SR-36,SR-31</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</si>
  <si>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</si>
  <si>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</si>
  <si>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</si>
  <si>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</si>
  <si>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Logging not formally inventoried by layer. 18 auditLogRepository.save() calls identified across 5 services (AuthService, BackupServiceImpl, TelemetryService, UserManagementService, SlotService) but no formal inventory document.</t>
  </si>
  <si>
    <t>Improvement: create logging inventory per layer. SR-37,SR-43</t>
  </si>
  <si>
    <t>V16.2</t>
  </si>
  <si>
    <t>General Logging</t>
  </si>
  <si>
    <t>V16.2.1</t>
  </si>
  <si>
    <t>Verify that each log entry includes necessary metadata (such as when, where, who, what) that would allow for a detailed investigation of the timeline when an event happens.</t>
  </si>
  <si>
    <t>All AuditLog entries include: principal, resource, action, eventType, outcome, timestamp. 18 save() calls across AuthService (6), BackupServiceImpl (2), TelemetryService (8), UserManagementService (1), SlotService (1).</t>
  </si>
  <si>
    <t>AuditLog.java entity; 5 service classes with audit calls; SR-37,SR-38</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</si>
  <si>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</si>
  <si>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</si>
  <si>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t>NTP synchronization assumed but not enforced at application level. Timestamps via LocalDateTime.now() use system clock.</t>
  </si>
  <si>
    <t>Improvement: document NTP requirement in deployment guide. SR-37</t>
  </si>
  <si>
    <t>V16.2.3</t>
  </si>
  <si>
    <t>Verify that the application only stores or broadcasts logs to the files and services that are documented in the log inventory.</t>
  </si>
  <si>
    <t>Logs directed to /var/vendnet/logs/audit/ via logback-spring.xml configuration.</t>
  </si>
  <si>
    <t>logback-spring.xml; SR-37</t>
  </si>
  <si>
    <t>V16.2.4</t>
  </si>
  <si>
    <t>Verify that logs can be read and correlated by the log processor that is in use, preferably by using a common logging format.</t>
  </si>
  <si>
    <t>Logstash JSON encoder configured for structured JSON logging. Enables log processor correlation.</t>
  </si>
  <si>
    <t>logback-spring.xml Logstash encoder; SR-37</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</si>
  <si>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</si>
  <si>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</si>
  <si>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Passwords never logged. JWT tokens truncated in log output. AuditLogger redacts sensitive fields before persistence.</t>
  </si>
  <si>
    <t>AuditLogger.java; SR-45</t>
  </si>
  <si>
    <t>V16.3</t>
  </si>
  <si>
    <t>Security Events</t>
  </si>
  <si>
    <t>V16.3.1</t>
  </si>
  <si>
    <t>Verify that all authentication operations are logged, including successful and unsuccessful attempts. Additional metadata, such as the type of authentication or factors used, should also be collected.</t>
  </si>
  <si>
    <t>LOGIN_SUCCESS, LOGIN_FAILED, LOGOUT, REGISTER, ACCOUNT_LOCKED events with username, IP, timestamp saved to DB via auditLogRepository.save() in AuthService.java.</t>
  </si>
  <si>
    <t>AuthService.java audit calls; AuditLogRepository; SR-37</t>
  </si>
  <si>
    <t>V16.3.2</t>
  </si>
  <si>
    <t>Verify that failed authorization attempts are logged. For L3, this must include logging all authorization decisions, including logging when sensitive data is accessed (without logging the sensitive data itself).</t>
  </si>
  <si>
    <t>ACCESS_DENIED events via Spring Security AccessDeniedHandler. ROLE_CHANGE events with old/new role in UserManagementService.</t>
  </si>
  <si>
    <t>UserManagementService.java; SR-38</t>
  </si>
  <si>
    <t>V16.3.3</t>
  </si>
  <si>
    <t>Verify that the application logs the security events that are defined in the documentation and also logs attempts to bypass the security controls, such as input validation, business logic, and anti-automation.</t>
  </si>
  <si>
    <t>Basic security events logged. Bypass attempt detection (input validation, auth) not comprehensively implemented.</t>
  </si>
  <si>
    <t>Improvement: log input validation failures as security events. SR-37</t>
  </si>
  <si>
    <t>V16.3.4</t>
  </si>
  <si>
    <t>Verify that the application logs unexpected errors and security control failures such as backend TLS failures.</t>
  </si>
  <si>
    <t>GlobalExceptionHandler.java:134 logs all unhandled exceptions with full stack trace internally (not exposed to client). Correlation ID included for tracing.</t>
  </si>
  <si>
    <t>GlobalExceptionHandler.java:132-143; SR-37</t>
  </si>
  <si>
    <t>V16.4</t>
  </si>
  <si>
    <t>Log Protection</t>
  </si>
  <si>
    <t>V16.4.1</t>
  </si>
  <si>
    <t>Verify that all logging components appropriately encode data to prevent log injection.</t>
  </si>
  <si>
    <t>Logstash JSON encoder escapes special characters. Structured logging prevents log injection via field separation.</t>
  </si>
  <si>
    <t>logback-spring.xml; SR-41</t>
  </si>
  <si>
    <t>V16.4.2</t>
  </si>
  <si>
    <t>Verify that logs are protected from unauthorized access and cannot be modified.</t>
  </si>
  <si>
    <t>Log files with restrictive permissions (600). AuditLog entity includes integrityHash field for tamper detection. Immutable domain model (no setters after creation).</t>
  </si>
  <si>
    <t>AuditLog.java integrityHash; file permissions; SR-41</t>
  </si>
  <si>
    <t>V16.4.3</t>
  </si>
  <si>
    <t>Verify that logs are securely transmitted to a logically separate system for analysis, detection, alerting, and escalation. The aim is to ensure that if the application is breached, the logs are not compromised.</t>
  </si>
  <si>
    <t>Logs forwarded to Loki via Promtail in Docker Compose setup. No centralized SIEM integration (Splunk, ELK Cloud, Datadog).</t>
  </si>
  <si>
    <t>docker-compose.yml Loki/Promtail. Gap: no SIEM. Improvement: integrate SIEM</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</si>
  <si>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</si>
  <si>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</si>
  <si>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</si>
  <si>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</si>
  <si>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GlobalExceptionHandler.java:132-143 generic fallback returns "An unexpected error occurred" (no stack traces, no class names). 14 dedicated exception handlers. server.error.include-stacktrace=never, server.error.include-message=never, server.error.include-exception=false at application.properties:22-25.</t>
  </si>
  <si>
    <t>GlobalExceptionHandler.java:30-215; application.properties:22-25; SR-46</t>
  </si>
  <si>
    <t>V16.5.2</t>
  </si>
  <si>
    <t>Verify that the application continues to operate securely when external resource access fails, for example, by using patterns such as circuit breakers or graceful degradation.</t>
  </si>
  <si>
    <t>Payment Gateway circuit breaker pattern with fallback to queued retry. Graceful degradation when external service unavailable.</t>
  </si>
  <si>
    <t>PaymentGatewayServiceImpl.java; SR-46</t>
  </si>
  <si>
    <t>V16.5.3</t>
  </si>
  <si>
    <t>Verify that the application fails gracefully and securely, including when an exception occurs, preventing fail-open conditions such as processing a transaction despite errors resulting from validation logic.</t>
  </si>
  <si>
    <t>@Transactional ensures rollback on unhandled exception. All exception handlers return safe ApiError responses. No fail-open conditions.</t>
  </si>
  <si>
    <t>GlobalExceptionHandler.java; @Transactional services; SR-46</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</si>
  <si>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</si>
  <si>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</si>
  <si>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GlobalExceptionHandler.java:132 @ExceptionHandler(Exception.class) catches all unhandled exceptions as last resort. Logs internally, returns generic message.</t>
  </si>
  <si>
    <t>GlobalExceptionHandler.java:132-143; SR-46</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</si>
  <si>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</si>
  <si>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</si>
  <si>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</si>
  <si>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</si>
  <si>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No TURN server. No WebRTC.</t>
  </si>
  <si>
    <t>Not applicable — no WebRTC in this system</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</si>
  <si>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</si>
  <si>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</si>
  <si>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</si>
  <si>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</si>
  <si>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</si>
  <si>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</si>
  <si>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No DTLS. No WebRTC media.</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</si>
  <si>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</si>
  <si>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</si>
  <si>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No DTLS-SRTP. No WebRTC media.</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</si>
  <si>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</si>
  <si>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</si>
  <si>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No SRTP. No WebRTC media.</t>
  </si>
  <si>
    <t>V17.2.4</t>
  </si>
  <si>
    <t>Verify that the media server is able to continue processing incoming media traffic when encountering malformed Secure Real-time Transport Protocol (SRTP) packets.</t>
  </si>
  <si>
    <t>No media server. No WebRTC.</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</si>
  <si>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</si>
  <si>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</si>
  <si>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</si>
  <si>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</si>
  <si>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No DTLS. No WebRTC.</t>
  </si>
  <si>
    <t>V17.2.7</t>
  </si>
  <si>
    <t>Verify that any audio or video recording mechanisms associated with the media server are able to continue processing incoming media traffic during a flood of Secure Real-time Transport Protocol (SRTP) packets from legitimate users.</t>
  </si>
  <si>
    <t>No media recording. No WebRTC.</t>
  </si>
  <si>
    <t>V17.2.8</t>
  </si>
  <si>
    <t>Verify that the Datagram Transport Layer Security (DTLS) certificate is checked against the Session Description Protocol (SDP) fingerprint attribute, terminating the media stream if the check fails, to ensure the authenticity of the media stream.</t>
  </si>
  <si>
    <t>No DTLS. No SDP. No WebRTC.</t>
  </si>
  <si>
    <t>V17.3</t>
  </si>
  <si>
    <t>Signaling</t>
  </si>
  <si>
    <t>V17.3.1</t>
  </si>
  <si>
    <t>Verify that the signaling server is able to continue processing legitimate incoming signaling messages during a flood attack. This should be achieved by implementing rate limiting at the signaling level.</t>
  </si>
  <si>
    <t>No signaling server. No WebRTC.</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</si>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</sst>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rgb="FF000000"/>
      <name val="Calibri"/>
      <family val="2"/>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1" fillId="2" borderId="0" xfId="0" applyFont="1" applyFill="1" applyAlignment="1">
      <alignment horizontal="center" vertical="center"/>
    </xf>
    <xf numFmtId="0" fontId="0" fillId="0" borderId="0" xfId="0"/>
    <xf numFmtId="0" fontId="3" fillId="0" borderId="0" xfId="0" applyFont="1"/>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prstDash val="solid"/>
            </a:ln>
          </c:spPr>
          <c:invertIfNegative val="0"/>
          <c:dLbls>
            <c:spPr>
              <a:noFill/>
              <a:ln>
                <a:noFill/>
                <a:prstDash val="solid"/>
              </a:ln>
            </c:spPr>
            <c:txPr>
              <a:bodyPr/>
              <a:lstStyle/>
              <a:p>
                <a:pPr>
                  <a:defRPr sz="1000" b="0" strike="noStrike" spc="-1">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0.5</c:v>
                </c:pt>
                <c:pt idx="1">
                  <c:v>0.75</c:v>
                </c:pt>
                <c:pt idx="2">
                  <c:v>0.25</c:v>
                </c:pt>
                <c:pt idx="3">
                  <c:v>0.5</c:v>
                </c:pt>
                <c:pt idx="4">
                  <c:v>1</c:v>
                </c:pt>
                <c:pt idx="5">
                  <c:v>0.38461538461538464</c:v>
                </c:pt>
                <c:pt idx="6">
                  <c:v>0.83333333333333337</c:v>
                </c:pt>
                <c:pt idx="7">
                  <c:v>1</c:v>
                </c:pt>
                <c:pt idx="8">
                  <c:v>1</c:v>
                </c:pt>
                <c:pt idx="9">
                  <c:v>0.2</c:v>
                </c:pt>
                <c:pt idx="10">
                  <c:v>1</c:v>
                </c:pt>
                <c:pt idx="11">
                  <c:v>0</c:v>
                </c:pt>
                <c:pt idx="12">
                  <c:v>1</c:v>
                </c:pt>
                <c:pt idx="13">
                  <c:v>0.5</c:v>
                </c:pt>
                <c:pt idx="14">
                  <c:v>0.66666666666666663</c:v>
                </c:pt>
                <c:pt idx="15" formatCode="General">
                  <c:v>0</c:v>
                </c:pt>
                <c:pt idx="16" formatCode="General">
                  <c:v>0</c:v>
                </c:pt>
              </c:numCache>
            </c:numRef>
          </c:val>
          <c:extLst>
            <c:ext xmlns:c16="http://schemas.microsoft.com/office/drawing/2014/chart" uri="{C3380CC4-5D6E-409C-BE32-E72D297353CC}">
              <c16:uniqueId val="{00000000-D36D-6842-859B-92EBB8F20301}"/>
            </c:ext>
          </c:extLst>
        </c:ser>
        <c:ser>
          <c:idx val="1"/>
          <c:order val="1"/>
          <c:tx>
            <c:strRef>
              <c:f>Summary!$H$5</c:f>
              <c:strCache>
                <c:ptCount val="1"/>
                <c:pt idx="0">
                  <c:v>L2
%</c:v>
                </c:pt>
              </c:strCache>
            </c:strRef>
          </c:tx>
          <c:spPr>
            <a:solidFill>
              <a:srgbClr val="FFEB9C"/>
            </a:solidFill>
            <a:ln>
              <a:noFill/>
              <a:prstDash val="solid"/>
            </a:ln>
          </c:spPr>
          <c:invertIfNegative val="0"/>
          <c:dLbls>
            <c:spPr>
              <a:noFill/>
              <a:ln>
                <a:noFill/>
                <a:prstDash val="solid"/>
              </a:ln>
            </c:spPr>
            <c:txPr>
              <a:bodyPr/>
              <a:lstStyle/>
              <a:p>
                <a:pPr>
                  <a:defRPr sz="1000" b="0" strike="noStrike" spc="-1">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0.57894736842105265</c:v>
                </c:pt>
                <c:pt idx="1">
                  <c:v>0.8571428571428571</c:v>
                </c:pt>
                <c:pt idx="2">
                  <c:v>9.0909090909090912E-2</c:v>
                </c:pt>
                <c:pt idx="3">
                  <c:v>0.125</c:v>
                </c:pt>
                <c:pt idx="4">
                  <c:v>0.2</c:v>
                </c:pt>
                <c:pt idx="5">
                  <c:v>0.45454545454545453</c:v>
                </c:pt>
                <c:pt idx="6">
                  <c:v>0.25</c:v>
                </c:pt>
                <c:pt idx="7">
                  <c:v>0.66666666666666663</c:v>
                </c:pt>
                <c:pt idx="8">
                  <c:v>1</c:v>
                </c:pt>
                <c:pt idx="9">
                  <c:v>0.375</c:v>
                </c:pt>
                <c:pt idx="10">
                  <c:v>0.90909090909090906</c:v>
                </c:pt>
                <c:pt idx="11">
                  <c:v>0</c:v>
                </c:pt>
                <c:pt idx="12">
                  <c:v>0.41666666666666669</c:v>
                </c:pt>
                <c:pt idx="13">
                  <c:v>0.8571428571428571</c:v>
                </c:pt>
                <c:pt idx="14">
                  <c:v>0.5</c:v>
                </c:pt>
                <c:pt idx="15">
                  <c:v>0.75</c:v>
                </c:pt>
                <c:pt idx="16">
                  <c:v>0</c:v>
                </c:pt>
              </c:numCache>
            </c:numRef>
          </c:val>
          <c:extLst>
            <c:ext xmlns:c16="http://schemas.microsoft.com/office/drawing/2014/chart" uri="{C3380CC4-5D6E-409C-BE32-E72D297353CC}">
              <c16:uniqueId val="{00000001-D36D-6842-859B-92EBB8F20301}"/>
            </c:ext>
          </c:extLst>
        </c:ser>
        <c:ser>
          <c:idx val="2"/>
          <c:order val="2"/>
          <c:tx>
            <c:strRef>
              <c:f>Summary!$K$5</c:f>
              <c:strCache>
                <c:ptCount val="1"/>
                <c:pt idx="0">
                  <c:v>L3
%</c:v>
                </c:pt>
              </c:strCache>
            </c:strRef>
          </c:tx>
          <c:spPr>
            <a:solidFill>
              <a:srgbClr val="FABF8F"/>
            </a:solidFill>
            <a:ln>
              <a:noFill/>
              <a:prstDash val="solid"/>
            </a:ln>
          </c:spPr>
          <c:invertIfNegative val="0"/>
          <c:dLbls>
            <c:spPr>
              <a:noFill/>
              <a:ln>
                <a:noFill/>
                <a:prstDash val="solid"/>
              </a:ln>
            </c:spPr>
            <c:txPr>
              <a:bodyPr/>
              <a:lstStyle/>
              <a:p>
                <a:pPr>
                  <a:defRPr sz="1000" b="0" strike="noStrike" spc="-1">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0.33333333333333331</c:v>
                </c:pt>
                <c:pt idx="1">
                  <c:v>0</c:v>
                </c:pt>
                <c:pt idx="2">
                  <c:v>0.16666666666666666</c:v>
                </c:pt>
                <c:pt idx="3">
                  <c:v>0.5</c:v>
                </c:pt>
                <c:pt idx="4">
                  <c:v>0.25</c:v>
                </c:pt>
                <c:pt idx="5">
                  <c:v>0.25</c:v>
                </c:pt>
                <c:pt idx="6">
                  <c:v>0</c:v>
                </c:pt>
                <c:pt idx="7">
                  <c:v>0.33333333333333331</c:v>
                </c:pt>
                <c:pt idx="8" formatCode="General">
                  <c:v>0</c:v>
                </c:pt>
                <c:pt idx="9">
                  <c:v>0.14285714285714285</c:v>
                </c:pt>
                <c:pt idx="10">
                  <c:v>0.7</c:v>
                </c:pt>
                <c:pt idx="11">
                  <c:v>0</c:v>
                </c:pt>
                <c:pt idx="12">
                  <c:v>0</c:v>
                </c:pt>
                <c:pt idx="13">
                  <c:v>0.5</c:v>
                </c:pt>
                <c:pt idx="14">
                  <c:v>0.125</c:v>
                </c:pt>
                <c:pt idx="15">
                  <c:v>1</c:v>
                </c:pt>
              </c:numCache>
            </c:numRef>
          </c:val>
          <c:extLst>
            <c:ext xmlns:c16="http://schemas.microsoft.com/office/drawing/2014/chart" uri="{C3380CC4-5D6E-409C-BE32-E72D297353CC}">
              <c16:uniqueId val="{00000002-D36D-6842-859B-92EBB8F20301}"/>
            </c:ext>
          </c:extLst>
        </c:ser>
        <c:ser>
          <c:idx val="3"/>
          <c:order val="3"/>
          <c:tx>
            <c:strRef>
              <c:f>Summary!$M$5</c:f>
              <c:strCache>
                <c:ptCount val="1"/>
                <c:pt idx="0">
                  <c:v>Overall
%</c:v>
                </c:pt>
              </c:strCache>
            </c:strRef>
          </c:tx>
          <c:spPr>
            <a:solidFill>
              <a:srgbClr val="579D1C"/>
            </a:solidFill>
            <a:ln>
              <a:noFill/>
              <a:prstDash val="solid"/>
            </a:ln>
          </c:spPr>
          <c:invertIfNegative val="0"/>
          <c:dLbls>
            <c:spPr>
              <a:noFill/>
              <a:ln>
                <a:noFill/>
                <a:prstDash val="solid"/>
              </a:ln>
            </c:spPr>
            <c:txPr>
              <a:bodyPr/>
              <a:lstStyle/>
              <a:p>
                <a:pPr>
                  <a:defRPr sz="1000" b="0" strike="noStrike" spc="-1">
                    <a:latin typeface="Arial"/>
                  </a:defRPr>
                </a:pPr>
                <a:endParaRPr lang="en-US"/>
              </a:p>
            </c:txPr>
            <c:dLblPos val="outEnd"/>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0.53333333333333333</c:v>
                </c:pt>
                <c:pt idx="1">
                  <c:v>0.69230769230769229</c:v>
                </c:pt>
                <c:pt idx="2">
                  <c:v>0.16129032258064516</c:v>
                </c:pt>
                <c:pt idx="3">
                  <c:v>0.3125</c:v>
                </c:pt>
                <c:pt idx="4">
                  <c:v>0.46153846153846156</c:v>
                </c:pt>
                <c:pt idx="5">
                  <c:v>0.38297872340425532</c:v>
                </c:pt>
                <c:pt idx="6">
                  <c:v>0.42105263157894735</c:v>
                </c:pt>
                <c:pt idx="7">
                  <c:v>0.61538461538461542</c:v>
                </c:pt>
                <c:pt idx="8">
                  <c:v>1</c:v>
                </c:pt>
                <c:pt idx="9">
                  <c:v>0.30555555555555558</c:v>
                </c:pt>
                <c:pt idx="10">
                  <c:v>0.83333333333333337</c:v>
                </c:pt>
                <c:pt idx="11">
                  <c:v>0</c:v>
                </c:pt>
                <c:pt idx="12">
                  <c:v>0.2857142857142857</c:v>
                </c:pt>
                <c:pt idx="13">
                  <c:v>0.69230769230769229</c:v>
                </c:pt>
                <c:pt idx="14">
                  <c:v>0.38095238095238093</c:v>
                </c:pt>
                <c:pt idx="15">
                  <c:v>0.76470588235294112</c:v>
                </c:pt>
                <c:pt idx="16">
                  <c:v>0</c:v>
                </c:pt>
              </c:numCache>
            </c:numRef>
          </c:val>
          <c:extLst>
            <c:ext xmlns:c16="http://schemas.microsoft.com/office/drawing/2014/chart" uri="{C3380CC4-5D6E-409C-BE32-E72D297353CC}">
              <c16:uniqueId val="{00000003-D36D-6842-859B-92EBB8F20301}"/>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prstDash val="solid"/>
          </a:ln>
        </c:spPr>
        <c:txPr>
          <a:bodyPr/>
          <a:lstStyle/>
          <a:p>
            <a:pPr>
              <a:defRPr sz="1000" b="0" strike="noStrike" spc="-1">
                <a:latin typeface="Arial"/>
              </a:defRPr>
            </a:pPr>
            <a:endParaRPr lang="en-US"/>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prstDash val="solid"/>
            </a:ln>
          </c:spPr>
        </c:majorGridlines>
        <c:numFmt formatCode="0%" sourceLinked="0"/>
        <c:majorTickMark val="out"/>
        <c:minorTickMark val="none"/>
        <c:tickLblPos val="nextTo"/>
        <c:spPr>
          <a:ln>
            <a:solidFill>
              <a:srgbClr val="B3B3B3"/>
            </a:solidFill>
            <a:prstDash val="solid"/>
          </a:ln>
        </c:spPr>
        <c:txPr>
          <a:bodyPr/>
          <a:lstStyle/>
          <a:p>
            <a:pPr>
              <a:defRPr sz="1000" b="0" strike="noStrike" spc="-1">
                <a:latin typeface="Arial"/>
              </a:defRPr>
            </a:pPr>
            <a:endParaRPr lang="en-US"/>
          </a:p>
        </c:txPr>
        <c:crossAx val="28005530"/>
        <c:crosses val="autoZero"/>
        <c:crossBetween val="between"/>
      </c:valAx>
    </c:plotArea>
    <c:legend>
      <c:legendPos val="r"/>
      <c:overlay val="0"/>
      <c:spPr>
        <a:noFill/>
        <a:ln>
          <a:noFill/>
          <a:prstDash val="solid"/>
        </a:ln>
      </c:spPr>
      <c:txPr>
        <a:bodyPr/>
        <a:lstStyle/>
        <a:p>
          <a:pPr>
            <a:defRPr sz="1000" b="0" strike="noStrike" spc="-1">
              <a:latin typeface="Arial"/>
            </a:defRPr>
          </a:pPr>
          <a:endParaRPr lang="en-US"/>
        </a:p>
      </c:txPr>
    </c:legend>
    <c:plotVisOnly val="1"/>
    <c:dispBlanksAs val="gap"/>
    <c:showDLblsOverMax val="1"/>
  </c:chart>
  <c:spPr>
    <a:solidFill>
      <a:srgbClr val="FFFFFF"/>
    </a:solidFill>
    <a:ln w="9360">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12</xdr:col>
      <xdr:colOff>857520</xdr:colOff>
      <xdr:row>47</xdr:row>
      <xdr:rowOff>56880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tabSelected="1" topLeftCell="A3" zoomScale="140" zoomScaleNormal="140" workbookViewId="0">
      <selection activeCell="V16" sqref="V16"/>
    </sheetView>
  </sheetViews>
  <sheetFormatPr baseColWidth="10" defaultColWidth="8.5" defaultRowHeight="15" x14ac:dyDescent="0.2"/>
  <cols>
    <col min="1" max="1" width="34" customWidth="1"/>
    <col min="2" max="13" width="11" customWidth="1"/>
  </cols>
  <sheetData>
    <row r="1" spans="1:16" ht="36" customHeight="1" x14ac:dyDescent="0.2">
      <c r="A1" s="24" t="s">
        <v>130</v>
      </c>
      <c r="B1" s="25"/>
      <c r="C1" s="25"/>
      <c r="D1" s="25"/>
      <c r="E1" s="25"/>
      <c r="F1" s="25"/>
      <c r="G1" s="25"/>
      <c r="H1" s="25"/>
      <c r="I1" s="25"/>
      <c r="J1" s="25"/>
      <c r="K1" s="25"/>
      <c r="L1" s="25"/>
      <c r="M1" s="25"/>
      <c r="N1" s="25"/>
      <c r="O1" s="25"/>
      <c r="P1" s="25"/>
    </row>
    <row r="2" spans="1:16" ht="20" customHeight="1" x14ac:dyDescent="0.2">
      <c r="A2" s="27"/>
      <c r="B2" s="25"/>
      <c r="C2" s="25"/>
      <c r="D2" s="25"/>
      <c r="E2" s="25"/>
      <c r="F2" s="25"/>
      <c r="G2" s="25"/>
      <c r="H2" s="25"/>
      <c r="I2" s="25"/>
      <c r="J2" s="25"/>
      <c r="K2" s="25"/>
      <c r="L2" s="25"/>
      <c r="M2" s="25"/>
      <c r="N2" s="25"/>
      <c r="O2" s="25"/>
      <c r="P2" s="25"/>
    </row>
    <row r="3" spans="1:16" ht="18" customHeight="1" x14ac:dyDescent="0.2">
      <c r="A3" s="26"/>
      <c r="B3" s="25"/>
      <c r="C3" s="1"/>
      <c r="E3" s="1"/>
      <c r="G3" s="1"/>
      <c r="I3" s="1"/>
      <c r="K3" s="1"/>
      <c r="M3" s="1"/>
      <c r="O3" s="1"/>
    </row>
    <row r="5" spans="1:16" ht="32" customHeight="1" x14ac:dyDescent="0.2">
      <c r="A5" s="2" t="s">
        <v>131</v>
      </c>
      <c r="B5" s="2" t="s">
        <v>132</v>
      </c>
      <c r="C5" s="2" t="s">
        <v>133</v>
      </c>
      <c r="D5" s="2" t="s">
        <v>134</v>
      </c>
      <c r="E5" s="2" t="s">
        <v>135</v>
      </c>
      <c r="F5" s="2" t="s">
        <v>136</v>
      </c>
      <c r="G5" s="2" t="s">
        <v>137</v>
      </c>
      <c r="H5" s="2" t="s">
        <v>138</v>
      </c>
      <c r="I5" s="2" t="s">
        <v>139</v>
      </c>
      <c r="J5" s="2" t="s">
        <v>140</v>
      </c>
      <c r="K5" s="2" t="s">
        <v>141</v>
      </c>
      <c r="L5" s="2" t="s">
        <v>142</v>
      </c>
      <c r="M5" s="2" t="s">
        <v>143</v>
      </c>
    </row>
    <row r="6" spans="1:16" ht="18" customHeight="1" x14ac:dyDescent="0.2">
      <c r="A6" s="3" t="s">
        <v>144</v>
      </c>
      <c r="B6" s="4">
        <v>30</v>
      </c>
      <c r="C6" s="4">
        <v>8</v>
      </c>
      <c r="D6" s="4">
        <f>COUNTIFS('V1 - Encoding and Sanitization'!$F$2:$F$36,"Compliant",'V1 - Encoding and Sanitization'!$E$2:$E$36,1)</f>
        <v>4</v>
      </c>
      <c r="E6" s="5">
        <f t="shared" ref="E6:E20" si="0">IF(C6=0,"",D6/C6)</f>
        <v>0.5</v>
      </c>
      <c r="F6" s="4">
        <v>19</v>
      </c>
      <c r="G6" s="4">
        <f>COUNTIFS('V1 - Encoding and Sanitization'!$F$2:$F$36,"Compliant",'V1 - Encoding and Sanitization'!$E$2:$E$36,2)</f>
        <v>11</v>
      </c>
      <c r="H6" s="5">
        <f t="shared" ref="H6:H22" si="1">IF(F6=0,"",G6/F6)</f>
        <v>0.57894736842105265</v>
      </c>
      <c r="I6" s="4">
        <v>3</v>
      </c>
      <c r="J6" s="4">
        <f>COUNTIFS('V1 - Encoding and Sanitization'!$F$2:$F$36,"Compliant",'V1 - Encoding and Sanitization'!$E$2:$E$36,3)</f>
        <v>1</v>
      </c>
      <c r="K6" s="5">
        <f t="shared" ref="K6:K13" si="2">IF(I6=0,"",J6/I6)</f>
        <v>0.33333333333333331</v>
      </c>
      <c r="L6" s="4">
        <f>COUNTIF('V1 - Encoding and Sanitization'!$F$2:$F$36,"Compliant")</f>
        <v>16</v>
      </c>
      <c r="M6" s="5">
        <f t="shared" ref="M6:M22" si="3">IF(B6=0,"",L6/B6)</f>
        <v>0.53333333333333333</v>
      </c>
    </row>
    <row r="7" spans="1:16" ht="18" customHeight="1" x14ac:dyDescent="0.2">
      <c r="A7" s="6" t="s">
        <v>145</v>
      </c>
      <c r="B7" s="7">
        <v>13</v>
      </c>
      <c r="C7" s="7">
        <v>4</v>
      </c>
      <c r="D7" s="7">
        <f>COUNTIFS('V2 - Validation and Business Lo'!$F$2:$F$18,"Compliant",'V2 - Validation and Business Lo'!$E$2:$E$18,1)</f>
        <v>3</v>
      </c>
      <c r="E7" s="8">
        <f t="shared" si="0"/>
        <v>0.75</v>
      </c>
      <c r="F7" s="7">
        <v>7</v>
      </c>
      <c r="G7" s="7">
        <f>COUNTIFS('V2 - Validation and Business Lo'!$F$2:$F$18,"Compliant",'V2 - Validation and Business Lo'!$E$2:$E$18,2)</f>
        <v>6</v>
      </c>
      <c r="H7" s="8">
        <f t="shared" si="1"/>
        <v>0.8571428571428571</v>
      </c>
      <c r="I7" s="7">
        <v>2</v>
      </c>
      <c r="J7" s="7">
        <f>COUNTIFS('V2 - Validation and Business Lo'!$F$2:$F$18,"Compliant",'V2 - Validation and Business Lo'!$E$2:$E$18,3)</f>
        <v>0</v>
      </c>
      <c r="K7" s="8">
        <f t="shared" si="2"/>
        <v>0</v>
      </c>
      <c r="L7" s="7">
        <f>COUNTIF('V2 - Validation and Business Lo'!$F$2:$F$18,"Compliant")</f>
        <v>9</v>
      </c>
      <c r="M7" s="8">
        <f t="shared" si="3"/>
        <v>0.69230769230769229</v>
      </c>
    </row>
    <row r="8" spans="1:16" ht="18" customHeight="1" x14ac:dyDescent="0.2">
      <c r="A8" s="3" t="s">
        <v>146</v>
      </c>
      <c r="B8" s="4">
        <v>31</v>
      </c>
      <c r="C8" s="4">
        <v>8</v>
      </c>
      <c r="D8" s="4">
        <f>COUNTIFS('V3 - Web Frontend Security'!$F$2:$F$39,"Compliant",'V3 - Web Frontend Security'!$E$2:$E$39,1)</f>
        <v>2</v>
      </c>
      <c r="E8" s="5">
        <f t="shared" si="0"/>
        <v>0.25</v>
      </c>
      <c r="F8" s="4">
        <v>11</v>
      </c>
      <c r="G8" s="4">
        <f>COUNTIFS('V3 - Web Frontend Security'!$F$2:$F$39,"Compliant",'V3 - Web Frontend Security'!$E$2:$E$39,2)</f>
        <v>1</v>
      </c>
      <c r="H8" s="5">
        <f t="shared" si="1"/>
        <v>9.0909090909090912E-2</v>
      </c>
      <c r="I8" s="4">
        <v>12</v>
      </c>
      <c r="J8" s="4">
        <f>COUNTIFS('V3 - Web Frontend Security'!$F$2:$F$39,"Compliant",'V3 - Web Frontend Security'!$E$2:$E$39,3)</f>
        <v>2</v>
      </c>
      <c r="K8" s="5">
        <f t="shared" si="2"/>
        <v>0.16666666666666666</v>
      </c>
      <c r="L8" s="4">
        <f>COUNTIF('V3 - Web Frontend Security'!$F$2:$F$39,"Compliant")</f>
        <v>5</v>
      </c>
      <c r="M8" s="5">
        <f t="shared" si="3"/>
        <v>0.16129032258064516</v>
      </c>
    </row>
    <row r="9" spans="1:16" ht="18" customHeight="1" x14ac:dyDescent="0.2">
      <c r="A9" s="6" t="s">
        <v>147</v>
      </c>
      <c r="B9" s="7">
        <v>16</v>
      </c>
      <c r="C9" s="7">
        <v>2</v>
      </c>
      <c r="D9" s="7">
        <f>COUNTIFS('V4 - API and Web Service'!$F$2:$F$21,"Compliant",'V4 - API and Web Service'!$E$2:$E$21,1)</f>
        <v>1</v>
      </c>
      <c r="E9" s="8">
        <f t="shared" si="0"/>
        <v>0.5</v>
      </c>
      <c r="F9" s="7">
        <v>8</v>
      </c>
      <c r="G9" s="7">
        <f>COUNTIFS('V4 - API and Web Service'!$F$2:$F$21,"Compliant",'V4 - API and Web Service'!$E$2:$E$21,2)</f>
        <v>1</v>
      </c>
      <c r="H9" s="8">
        <f t="shared" si="1"/>
        <v>0.125</v>
      </c>
      <c r="I9" s="7">
        <v>6</v>
      </c>
      <c r="J9" s="7">
        <f>COUNTIFS('V4 - API and Web Service'!$F$2:$F$21,"Compliant",'V4 - API and Web Service'!$E$2:$E$21,3)</f>
        <v>3</v>
      </c>
      <c r="K9" s="8">
        <f t="shared" si="2"/>
        <v>0.5</v>
      </c>
      <c r="L9" s="7">
        <f>COUNTIF('V4 - API and Web Service'!$F$2:$F$21,"Compliant")</f>
        <v>5</v>
      </c>
      <c r="M9" s="8">
        <f t="shared" si="3"/>
        <v>0.3125</v>
      </c>
    </row>
    <row r="10" spans="1:16" ht="18" customHeight="1" x14ac:dyDescent="0.2">
      <c r="A10" s="3" t="s">
        <v>148</v>
      </c>
      <c r="B10" s="4">
        <v>13</v>
      </c>
      <c r="C10" s="4">
        <v>4</v>
      </c>
      <c r="D10" s="4">
        <f>COUNTIFS('V5 - File Handling'!$F$2:$F$18,"Compliant",'V5 - File Handling'!$E$2:$E$18,1)</f>
        <v>4</v>
      </c>
      <c r="E10" s="5">
        <f t="shared" si="0"/>
        <v>1</v>
      </c>
      <c r="F10" s="4">
        <v>5</v>
      </c>
      <c r="G10" s="4">
        <f>COUNTIFS('V5 - File Handling'!$F$2:$F$18,"Compliant",'V5 - File Handling'!$E$2:$E$18,2)</f>
        <v>1</v>
      </c>
      <c r="H10" s="5">
        <f t="shared" si="1"/>
        <v>0.2</v>
      </c>
      <c r="I10" s="4">
        <v>4</v>
      </c>
      <c r="J10" s="4">
        <f>COUNTIFS('V5 - File Handling'!$F$2:$F$18,"Compliant",'V5 - File Handling'!$E$2:$E$18,3)</f>
        <v>1</v>
      </c>
      <c r="K10" s="5">
        <f t="shared" si="2"/>
        <v>0.25</v>
      </c>
      <c r="L10" s="4">
        <f>COUNTIF('V5 - File Handling'!$F$2:$F$18,"Compliant")</f>
        <v>6</v>
      </c>
      <c r="M10" s="5">
        <f t="shared" si="3"/>
        <v>0.46153846153846156</v>
      </c>
    </row>
    <row r="11" spans="1:16" ht="18" customHeight="1" x14ac:dyDescent="0.2">
      <c r="A11" s="6" t="s">
        <v>149</v>
      </c>
      <c r="B11" s="7">
        <v>47</v>
      </c>
      <c r="C11" s="7">
        <v>13</v>
      </c>
      <c r="D11" s="7">
        <f>COUNTIFS('V6 - Authentication'!$F$2:$F$56,"Compliant",'V6 - Authentication'!$E$2:$E$56,1)</f>
        <v>5</v>
      </c>
      <c r="E11" s="8">
        <f t="shared" si="0"/>
        <v>0.38461538461538464</v>
      </c>
      <c r="F11" s="7">
        <v>22</v>
      </c>
      <c r="G11" s="7">
        <f>COUNTIFS('V6 - Authentication'!$F$2:$F$56,"Compliant",'V6 - Authentication'!$E$2:$E$56,2)</f>
        <v>10</v>
      </c>
      <c r="H11" s="8">
        <f t="shared" si="1"/>
        <v>0.45454545454545453</v>
      </c>
      <c r="I11" s="7">
        <v>12</v>
      </c>
      <c r="J11" s="7">
        <f>COUNTIFS('V6 - Authentication'!$F$2:$F$56,"Compliant",'V6 - Authentication'!$E$2:$E$56,3)</f>
        <v>3</v>
      </c>
      <c r="K11" s="8">
        <f t="shared" si="2"/>
        <v>0.25</v>
      </c>
      <c r="L11" s="7">
        <f>COUNTIF('V6 - Authentication'!$F$2:$F$56,"Compliant")</f>
        <v>18</v>
      </c>
      <c r="M11" s="8">
        <f t="shared" si="3"/>
        <v>0.38297872340425532</v>
      </c>
    </row>
    <row r="12" spans="1:16" ht="18" customHeight="1" x14ac:dyDescent="0.2">
      <c r="A12" s="3" t="s">
        <v>150</v>
      </c>
      <c r="B12" s="4">
        <v>19</v>
      </c>
      <c r="C12" s="4">
        <v>6</v>
      </c>
      <c r="D12" s="4">
        <f>COUNTIFS('V7 - Session Management'!$F$2:$F$26,"Compliant",'V7 - Session Management'!$E$2:$E$26,1)</f>
        <v>5</v>
      </c>
      <c r="E12" s="5">
        <f t="shared" si="0"/>
        <v>0.83333333333333337</v>
      </c>
      <c r="F12" s="4">
        <v>12</v>
      </c>
      <c r="G12" s="4">
        <f>COUNTIFS('V7 - Session Management'!$F$2:$F$26,"Compliant",'V7 - Session Management'!$E$2:$E$26,2)</f>
        <v>3</v>
      </c>
      <c r="H12" s="5">
        <f t="shared" si="1"/>
        <v>0.25</v>
      </c>
      <c r="I12" s="4">
        <v>1</v>
      </c>
      <c r="J12" s="4">
        <f>COUNTIFS('V7 - Session Management'!$F$2:$F$26,"Compliant",'V7 - Session Management'!$E$2:$E$26,3)</f>
        <v>0</v>
      </c>
      <c r="K12" s="5">
        <f t="shared" si="2"/>
        <v>0</v>
      </c>
      <c r="L12" s="4">
        <f>COUNTIF('V7 - Session Management'!$F$2:$F$26,"Compliant")</f>
        <v>8</v>
      </c>
      <c r="M12" s="5">
        <f t="shared" si="3"/>
        <v>0.42105263157894735</v>
      </c>
    </row>
    <row r="13" spans="1:16" ht="18" customHeight="1" x14ac:dyDescent="0.2">
      <c r="A13" s="6" t="s">
        <v>151</v>
      </c>
      <c r="B13" s="7">
        <v>13</v>
      </c>
      <c r="C13" s="7">
        <v>4</v>
      </c>
      <c r="D13" s="7">
        <f>COUNTIFS('V8 - Authorization'!$F$2:$F$18,"Compliant",'V8 - Authorization'!$E$2:$E$18,1)</f>
        <v>4</v>
      </c>
      <c r="E13" s="8">
        <f t="shared" si="0"/>
        <v>1</v>
      </c>
      <c r="F13" s="7">
        <v>3</v>
      </c>
      <c r="G13" s="7">
        <f>COUNTIFS('V8 - Authorization'!$F$2:$F$18,"Compliant",'V8 - Authorization'!$E$2:$E$18,2)</f>
        <v>2</v>
      </c>
      <c r="H13" s="8">
        <f t="shared" si="1"/>
        <v>0.66666666666666663</v>
      </c>
      <c r="I13" s="7">
        <v>6</v>
      </c>
      <c r="J13" s="7">
        <f>COUNTIFS('V8 - Authorization'!$F$2:$F$18,"Compliant",'V8 - Authorization'!$E$2:$E$18,3)</f>
        <v>2</v>
      </c>
      <c r="K13" s="8">
        <f t="shared" si="2"/>
        <v>0.33333333333333331</v>
      </c>
      <c r="L13" s="7">
        <f>COUNTIF('V8 - Authorization'!$F$2:$F$18,"Compliant")</f>
        <v>8</v>
      </c>
      <c r="M13" s="8">
        <f t="shared" si="3"/>
        <v>0.61538461538461542</v>
      </c>
    </row>
    <row r="14" spans="1:16" ht="18" customHeight="1" x14ac:dyDescent="0.2">
      <c r="A14" s="3" t="s">
        <v>152</v>
      </c>
      <c r="B14" s="4">
        <v>7</v>
      </c>
      <c r="C14" s="4">
        <v>4</v>
      </c>
      <c r="D14" s="4">
        <f>COUNTIFS('V9 - Self-contained Tokens'!$F$2:$F$10,"Compliant",'V9 - Self-contained Tokens'!$E$2:$E$10,1)</f>
        <v>4</v>
      </c>
      <c r="E14" s="5">
        <f t="shared" si="0"/>
        <v>1</v>
      </c>
      <c r="F14" s="4">
        <v>3</v>
      </c>
      <c r="G14" s="4">
        <f>COUNTIFS('V9 - Self-contained Tokens'!$F$2:$F$10,"Compliant",'V9 - Self-contained Tokens'!$E$2:$E$10,2)</f>
        <v>3</v>
      </c>
      <c r="H14" s="5">
        <f t="shared" si="1"/>
        <v>1</v>
      </c>
      <c r="I14" s="4">
        <v>0</v>
      </c>
      <c r="J14" s="4" t="s">
        <v>153</v>
      </c>
      <c r="K14" s="4" t="s">
        <v>153</v>
      </c>
      <c r="L14" s="4">
        <f>COUNTIF('V9 - Self-contained Tokens'!$F$2:$F$10,"Compliant")</f>
        <v>7</v>
      </c>
      <c r="M14" s="5">
        <f t="shared" si="3"/>
        <v>1</v>
      </c>
    </row>
    <row r="15" spans="1:16" ht="18" customHeight="1" x14ac:dyDescent="0.2">
      <c r="A15" s="6" t="s">
        <v>154</v>
      </c>
      <c r="B15" s="7">
        <v>36</v>
      </c>
      <c r="C15" s="7">
        <v>5</v>
      </c>
      <c r="D15" s="7">
        <f>COUNTIFS('V10 - OAuth and OIDC'!$F$2:$F$44,"Compliant",'V10 - OAuth and OIDC'!$E$2:$E$44,1)</f>
        <v>1</v>
      </c>
      <c r="E15" s="8">
        <f t="shared" si="0"/>
        <v>0.2</v>
      </c>
      <c r="F15" s="7">
        <v>24</v>
      </c>
      <c r="G15" s="7">
        <f>COUNTIFS('V10 - OAuth and OIDC'!$F$2:$F$44,"Compliant",'V10 - OAuth and OIDC'!$E$2:$E$44,2)</f>
        <v>9</v>
      </c>
      <c r="H15" s="8">
        <f t="shared" si="1"/>
        <v>0.375</v>
      </c>
      <c r="I15" s="7">
        <v>7</v>
      </c>
      <c r="J15" s="7">
        <f>COUNTIFS('V10 - OAuth and OIDC'!$F$2:$F$44,"Compliant",'V10 - OAuth and OIDC'!$E$2:$E$44,3)</f>
        <v>1</v>
      </c>
      <c r="K15" s="8">
        <f t="shared" ref="K15:K22" si="4">IF(I15=0,"",J15/I15)</f>
        <v>0.14285714285714285</v>
      </c>
      <c r="L15" s="7">
        <f>COUNTIF('V10 - OAuth and OIDC'!$F$2:$F$44,"Compliant")</f>
        <v>11</v>
      </c>
      <c r="M15" s="8">
        <f t="shared" si="3"/>
        <v>0.30555555555555558</v>
      </c>
    </row>
    <row r="16" spans="1:16" ht="18" customHeight="1" x14ac:dyDescent="0.2">
      <c r="A16" s="3" t="s">
        <v>155</v>
      </c>
      <c r="B16" s="4">
        <v>24</v>
      </c>
      <c r="C16" s="4">
        <v>3</v>
      </c>
      <c r="D16" s="4">
        <f>COUNTIFS('V11 - Cryptography'!$F$2:$F$32,"Compliant",'V11 - Cryptography'!$E$2:$E$32,1)</f>
        <v>3</v>
      </c>
      <c r="E16" s="5">
        <f t="shared" si="0"/>
        <v>1</v>
      </c>
      <c r="F16" s="4">
        <v>11</v>
      </c>
      <c r="G16" s="4">
        <f>COUNTIFS('V11 - Cryptography'!$F$2:$F$32,"Compliant",'V11 - Cryptography'!$E$2:$E$32,2)</f>
        <v>10</v>
      </c>
      <c r="H16" s="5">
        <f t="shared" si="1"/>
        <v>0.90909090909090906</v>
      </c>
      <c r="I16" s="4">
        <v>10</v>
      </c>
      <c r="J16" s="4">
        <f>COUNTIFS('V11 - Cryptography'!$F$2:$F$32,"Compliant",'V11 - Cryptography'!$E$2:$E$32,3)</f>
        <v>7</v>
      </c>
      <c r="K16" s="5">
        <f t="shared" si="4"/>
        <v>0.7</v>
      </c>
      <c r="L16" s="4">
        <f>COUNTIF('V11 - Cryptography'!$F$2:$F$32,"Compliant")</f>
        <v>20</v>
      </c>
      <c r="M16" s="5">
        <f t="shared" si="3"/>
        <v>0.83333333333333337</v>
      </c>
    </row>
    <row r="17" spans="1:13" ht="18" customHeight="1" x14ac:dyDescent="0.2">
      <c r="A17" s="6" t="s">
        <v>156</v>
      </c>
      <c r="B17" s="7">
        <v>12</v>
      </c>
      <c r="C17" s="7">
        <v>3</v>
      </c>
      <c r="D17" s="7">
        <f>COUNTIFS('V12 - Secure Communication'!$F$2:$F$16,"Compliant",'V12 - Secure Communication'!$E$2:$E$16,1)</f>
        <v>0</v>
      </c>
      <c r="E17" s="8">
        <f t="shared" si="0"/>
        <v>0</v>
      </c>
      <c r="F17" s="7">
        <v>6</v>
      </c>
      <c r="G17" s="7">
        <f>COUNTIFS('V12 - Secure Communication'!$F$2:$F$16,"Compliant",'V12 - Secure Communication'!$E$2:$E$16,2)</f>
        <v>0</v>
      </c>
      <c r="H17" s="8">
        <f t="shared" si="1"/>
        <v>0</v>
      </c>
      <c r="I17" s="7">
        <v>3</v>
      </c>
      <c r="J17" s="7">
        <f>COUNTIFS('V12 - Secure Communication'!$F$2:$F$16,"Compliant",'V12 - Secure Communication'!$E$2:$E$16,3)</f>
        <v>0</v>
      </c>
      <c r="K17" s="8">
        <f t="shared" si="4"/>
        <v>0</v>
      </c>
      <c r="L17" s="7">
        <f>COUNTIF('V12 - Secure Communication'!$F$2:$F$16,"Compliant")</f>
        <v>0</v>
      </c>
      <c r="M17" s="8">
        <f t="shared" si="3"/>
        <v>0</v>
      </c>
    </row>
    <row r="18" spans="1:13" ht="18" customHeight="1" x14ac:dyDescent="0.2">
      <c r="A18" s="3" t="s">
        <v>157</v>
      </c>
      <c r="B18" s="4">
        <v>21</v>
      </c>
      <c r="C18" s="4">
        <v>1</v>
      </c>
      <c r="D18" s="4">
        <f>COUNTIFS('V13 - Configuration'!$F$2:$F$26,"Compliant",'V13 - Configuration'!$E$2:$E$26,1)</f>
        <v>1</v>
      </c>
      <c r="E18" s="5">
        <f t="shared" si="0"/>
        <v>1</v>
      </c>
      <c r="F18" s="4">
        <v>12</v>
      </c>
      <c r="G18" s="4">
        <f>COUNTIFS('V13 - Configuration'!$F$2:$F$26,"Compliant",'V13 - Configuration'!$E$2:$E$26,2)</f>
        <v>5</v>
      </c>
      <c r="H18" s="5">
        <f t="shared" si="1"/>
        <v>0.41666666666666669</v>
      </c>
      <c r="I18" s="4">
        <v>8</v>
      </c>
      <c r="J18" s="4">
        <f>COUNTIFS('V13 - Configuration'!$F$2:$F$26,"Compliant",'V13 - Configuration'!$E$2:$E$26,3)</f>
        <v>0</v>
      </c>
      <c r="K18" s="5">
        <f t="shared" si="4"/>
        <v>0</v>
      </c>
      <c r="L18" s="4">
        <f>COUNTIF('V13 - Configuration'!$F$2:$F$26,"Compliant")</f>
        <v>6</v>
      </c>
      <c r="M18" s="5">
        <f t="shared" si="3"/>
        <v>0.2857142857142857</v>
      </c>
    </row>
    <row r="19" spans="1:13" ht="18" customHeight="1" x14ac:dyDescent="0.2">
      <c r="A19" s="6" t="s">
        <v>158</v>
      </c>
      <c r="B19" s="7">
        <v>13</v>
      </c>
      <c r="C19" s="7">
        <v>2</v>
      </c>
      <c r="D19" s="7">
        <f>COUNTIFS('V14 - Data Protection'!$F$2:$F$17,"Compliant",'V14 - Data Protection'!$E$2:$E$17,1)</f>
        <v>1</v>
      </c>
      <c r="E19" s="8">
        <f t="shared" si="0"/>
        <v>0.5</v>
      </c>
      <c r="F19" s="7">
        <v>7</v>
      </c>
      <c r="G19" s="7">
        <f>COUNTIFS('V14 - Data Protection'!$F$2:$F$17,"Compliant",'V14 - Data Protection'!$E$2:$E$17,2)</f>
        <v>6</v>
      </c>
      <c r="H19" s="8">
        <f t="shared" si="1"/>
        <v>0.8571428571428571</v>
      </c>
      <c r="I19" s="7">
        <v>4</v>
      </c>
      <c r="J19" s="7">
        <f>COUNTIFS('V14 - Data Protection'!$F$2:$F$17,"Compliant",'V14 - Data Protection'!$E$2:$E$17,3)</f>
        <v>2</v>
      </c>
      <c r="K19" s="8">
        <f t="shared" si="4"/>
        <v>0.5</v>
      </c>
      <c r="L19" s="7">
        <f>COUNTIF('V14 - Data Protection'!$F$2:$F$17,"Compliant")</f>
        <v>9</v>
      </c>
      <c r="M19" s="8">
        <f t="shared" si="3"/>
        <v>0.69230769230769229</v>
      </c>
    </row>
    <row r="20" spans="1:13" ht="18" customHeight="1" x14ac:dyDescent="0.2">
      <c r="A20" s="3" t="s">
        <v>159</v>
      </c>
      <c r="B20" s="4">
        <v>21</v>
      </c>
      <c r="C20" s="4">
        <v>3</v>
      </c>
      <c r="D20" s="4">
        <f>COUNTIFS('V15 - Secure Coding and Archite'!$F$2:$F$26,"Compliant",'V15 - Secure Coding and Archite'!$E$2:$E$26,1)</f>
        <v>2</v>
      </c>
      <c r="E20" s="5">
        <f t="shared" si="0"/>
        <v>0.66666666666666663</v>
      </c>
      <c r="F20" s="4">
        <v>10</v>
      </c>
      <c r="G20" s="4">
        <f>COUNTIFS('V15 - Secure Coding and Archite'!$F$2:$F$26,"Compliant",'V15 - Secure Coding and Archite'!$E$2:$E$26,2)</f>
        <v>5</v>
      </c>
      <c r="H20" s="5">
        <f t="shared" si="1"/>
        <v>0.5</v>
      </c>
      <c r="I20" s="4">
        <v>8</v>
      </c>
      <c r="J20" s="4">
        <f>COUNTIFS('V15 - Secure Coding and Archite'!$F$2:$F$26,"Compliant",'V15 - Secure Coding and Archite'!$E$2:$E$26,3)</f>
        <v>1</v>
      </c>
      <c r="K20" s="5">
        <f t="shared" si="4"/>
        <v>0.125</v>
      </c>
      <c r="L20" s="4">
        <f>COUNTIF('V15 - Secure Coding and Archite'!$F$2:$F$26,"Compliant")</f>
        <v>8</v>
      </c>
      <c r="M20" s="5">
        <f t="shared" si="3"/>
        <v>0.38095238095238093</v>
      </c>
    </row>
    <row r="21" spans="1:13" ht="18" customHeight="1" x14ac:dyDescent="0.2">
      <c r="A21" s="6" t="s">
        <v>160</v>
      </c>
      <c r="B21" s="7">
        <v>17</v>
      </c>
      <c r="C21" s="7">
        <v>0</v>
      </c>
      <c r="D21" s="7" t="s">
        <v>153</v>
      </c>
      <c r="E21" s="7" t="s">
        <v>153</v>
      </c>
      <c r="F21" s="7">
        <v>16</v>
      </c>
      <c r="G21" s="7">
        <f>COUNTIFS('V16 - Security Logging and Erro'!$F$2:$F$23,"Compliant",'V16 - Security Logging and Erro'!$E$2:$E$23,2)</f>
        <v>12</v>
      </c>
      <c r="H21" s="8">
        <f t="shared" si="1"/>
        <v>0.75</v>
      </c>
      <c r="I21" s="7">
        <v>1</v>
      </c>
      <c r="J21" s="7">
        <f>COUNTIFS('V16 - Security Logging and Erro'!$F$2:$F$23,"Compliant",'V16 - Security Logging and Erro'!$E$2:$E$23,3)</f>
        <v>1</v>
      </c>
      <c r="K21" s="8">
        <f t="shared" si="4"/>
        <v>1</v>
      </c>
      <c r="L21" s="7">
        <f>COUNTIF('V16 - Security Logging and Erro'!$F$2:$F$23,"Compliant")</f>
        <v>13</v>
      </c>
      <c r="M21" s="8">
        <f t="shared" si="3"/>
        <v>0.76470588235294112</v>
      </c>
    </row>
    <row r="22" spans="1:13" ht="18" customHeight="1" x14ac:dyDescent="0.2">
      <c r="A22" s="3" t="s">
        <v>161</v>
      </c>
      <c r="B22" s="4">
        <v>12</v>
      </c>
      <c r="C22" s="4">
        <v>0</v>
      </c>
      <c r="D22" s="4" t="s">
        <v>153</v>
      </c>
      <c r="E22" s="4" t="s">
        <v>153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2" customHeight="1" x14ac:dyDescent="0.2">
      <c r="A23" s="9" t="s">
        <v>162</v>
      </c>
      <c r="B23" s="10">
        <f>SUM(B6:B22)</f>
        <v>345</v>
      </c>
      <c r="C23" s="10">
        <f>SUM(C6:C22)</f>
        <v>70</v>
      </c>
      <c r="D23" s="10">
        <f>SUM(D6:D22)</f>
        <v>40</v>
      </c>
      <c r="E23" s="11">
        <f>IFERROR(AVERAGE(E6:E22),"")</f>
        <v>0.63897435897435895</v>
      </c>
      <c r="F23" s="10">
        <f>SUM(F6:F22)</f>
        <v>183</v>
      </c>
      <c r="G23" s="10">
        <f>SUM(G6:G22)</f>
        <v>85</v>
      </c>
      <c r="H23" s="11">
        <f>IFERROR(AVERAGE(H6:H22),"")</f>
        <v>0.47241834532856203</v>
      </c>
      <c r="I23" s="10">
        <f>SUM(I6:I22)</f>
        <v>92</v>
      </c>
      <c r="J23" s="10">
        <f>SUM(J6:J22)</f>
        <v>24</v>
      </c>
      <c r="K23" s="11">
        <f>IFERROR(AVERAGE(K6:K22),"")</f>
        <v>0.26882440476190472</v>
      </c>
      <c r="L23" s="10">
        <f>SUM(L6:L22)</f>
        <v>149</v>
      </c>
      <c r="M23" s="11">
        <f>IFERROR(AVERAGE(M6:M22),"")</f>
        <v>0.46135028884377288</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140" zoomScaleNormal="140" workbookViewId="0">
      <pane ySplit="1" topLeftCell="A14" activePane="bottomLeft" state="frozen"/>
      <selection pane="bottomLeft" activeCell="F7" sqref="F7"/>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8</v>
      </c>
      <c r="B2" s="13" t="s">
        <v>9</v>
      </c>
      <c r="C2" s="13"/>
      <c r="D2" s="13"/>
      <c r="E2" s="13"/>
      <c r="F2" s="13"/>
      <c r="G2" s="13"/>
      <c r="H2" s="13"/>
    </row>
    <row r="3" spans="1:8" ht="30" customHeight="1" x14ac:dyDescent="0.2">
      <c r="A3" s="14" t="s">
        <v>8</v>
      </c>
      <c r="B3" s="14" t="s">
        <v>9</v>
      </c>
      <c r="C3" s="15" t="s">
        <v>10</v>
      </c>
      <c r="D3" s="16" t="s">
        <v>11</v>
      </c>
      <c r="E3" s="17">
        <v>2</v>
      </c>
      <c r="F3" s="18" t="s">
        <v>12</v>
      </c>
      <c r="G3" s="16" t="s">
        <v>13</v>
      </c>
      <c r="H3" s="16" t="s">
        <v>14</v>
      </c>
    </row>
    <row r="4" spans="1:8" ht="30" customHeight="1" x14ac:dyDescent="0.2">
      <c r="A4" s="19" t="s">
        <v>8</v>
      </c>
      <c r="B4" s="19" t="s">
        <v>9</v>
      </c>
      <c r="C4" s="20" t="s">
        <v>15</v>
      </c>
      <c r="D4" s="21" t="s">
        <v>16</v>
      </c>
      <c r="E4" s="17">
        <v>2</v>
      </c>
      <c r="F4" s="18" t="s">
        <v>12</v>
      </c>
      <c r="G4" s="21" t="s">
        <v>17</v>
      </c>
      <c r="H4" s="21" t="s">
        <v>18</v>
      </c>
    </row>
    <row r="5" spans="1:8" ht="18" customHeight="1" x14ac:dyDescent="0.2">
      <c r="A5" s="13" t="s">
        <v>19</v>
      </c>
      <c r="B5" s="13" t="s">
        <v>20</v>
      </c>
      <c r="C5" s="13"/>
      <c r="D5" s="13"/>
      <c r="E5" s="13"/>
      <c r="F5" s="13"/>
      <c r="G5" s="13"/>
      <c r="H5" s="13"/>
    </row>
    <row r="6" spans="1:8" ht="30" customHeight="1" x14ac:dyDescent="0.2">
      <c r="A6" s="14" t="s">
        <v>19</v>
      </c>
      <c r="B6" s="14" t="s">
        <v>20</v>
      </c>
      <c r="C6" s="15" t="s">
        <v>21</v>
      </c>
      <c r="D6" s="16" t="s">
        <v>22</v>
      </c>
      <c r="E6" s="22">
        <v>1</v>
      </c>
      <c r="F6" s="18" t="s">
        <v>23</v>
      </c>
      <c r="G6" s="16" t="s">
        <v>24</v>
      </c>
      <c r="H6" s="16" t="s">
        <v>25</v>
      </c>
    </row>
    <row r="7" spans="1:8" ht="30" customHeight="1" x14ac:dyDescent="0.2">
      <c r="A7" s="19" t="s">
        <v>19</v>
      </c>
      <c r="B7" s="19" t="s">
        <v>20</v>
      </c>
      <c r="C7" s="20" t="s">
        <v>26</v>
      </c>
      <c r="D7" s="21" t="s">
        <v>27</v>
      </c>
      <c r="E7" s="22">
        <v>1</v>
      </c>
      <c r="F7" s="18" t="s">
        <v>12</v>
      </c>
      <c r="G7" s="21" t="s">
        <v>28</v>
      </c>
      <c r="H7" s="21" t="s">
        <v>29</v>
      </c>
    </row>
    <row r="8" spans="1:8" ht="30" customHeight="1" x14ac:dyDescent="0.2">
      <c r="A8" s="14" t="s">
        <v>19</v>
      </c>
      <c r="B8" s="14" t="s">
        <v>20</v>
      </c>
      <c r="C8" s="15" t="s">
        <v>30</v>
      </c>
      <c r="D8" s="16" t="s">
        <v>31</v>
      </c>
      <c r="E8" s="22">
        <v>1</v>
      </c>
      <c r="F8" s="18" t="s">
        <v>23</v>
      </c>
      <c r="G8" s="16" t="s">
        <v>32</v>
      </c>
      <c r="H8" s="16" t="s">
        <v>33</v>
      </c>
    </row>
    <row r="9" spans="1:8" ht="30" customHeight="1" x14ac:dyDescent="0.2">
      <c r="A9" s="19" t="s">
        <v>19</v>
      </c>
      <c r="B9" s="19" t="s">
        <v>20</v>
      </c>
      <c r="C9" s="20" t="s">
        <v>34</v>
      </c>
      <c r="D9" s="21" t="s">
        <v>35</v>
      </c>
      <c r="E9" s="22">
        <v>1</v>
      </c>
      <c r="F9" s="18" t="s">
        <v>12</v>
      </c>
      <c r="G9" s="21" t="s">
        <v>36</v>
      </c>
      <c r="H9" s="21" t="s">
        <v>37</v>
      </c>
    </row>
    <row r="10" spans="1:8" ht="30" customHeight="1" x14ac:dyDescent="0.2">
      <c r="A10" s="14" t="s">
        <v>19</v>
      </c>
      <c r="B10" s="14" t="s">
        <v>20</v>
      </c>
      <c r="C10" s="15" t="s">
        <v>38</v>
      </c>
      <c r="D10" s="16" t="s">
        <v>39</v>
      </c>
      <c r="E10" s="22">
        <v>1</v>
      </c>
      <c r="F10" s="18" t="s">
        <v>12</v>
      </c>
      <c r="G10" s="16" t="s">
        <v>40</v>
      </c>
      <c r="H10" s="16" t="s">
        <v>41</v>
      </c>
    </row>
    <row r="11" spans="1:8" ht="30" customHeight="1" x14ac:dyDescent="0.2">
      <c r="A11" s="19" t="s">
        <v>19</v>
      </c>
      <c r="B11" s="19" t="s">
        <v>20</v>
      </c>
      <c r="C11" s="20" t="s">
        <v>42</v>
      </c>
      <c r="D11" s="21" t="s">
        <v>43</v>
      </c>
      <c r="E11" s="17">
        <v>2</v>
      </c>
      <c r="F11" s="18" t="s">
        <v>23</v>
      </c>
      <c r="G11" s="21" t="s">
        <v>44</v>
      </c>
      <c r="H11" s="21" t="s">
        <v>33</v>
      </c>
    </row>
    <row r="12" spans="1:8" ht="30" customHeight="1" x14ac:dyDescent="0.2">
      <c r="A12" s="14" t="s">
        <v>19</v>
      </c>
      <c r="B12" s="14" t="s">
        <v>20</v>
      </c>
      <c r="C12" s="15" t="s">
        <v>45</v>
      </c>
      <c r="D12" s="16" t="s">
        <v>46</v>
      </c>
      <c r="E12" s="17">
        <v>2</v>
      </c>
      <c r="F12" s="18" t="s">
        <v>23</v>
      </c>
      <c r="G12" s="16" t="s">
        <v>47</v>
      </c>
      <c r="H12" s="16" t="s">
        <v>33</v>
      </c>
    </row>
    <row r="13" spans="1:8" ht="30" customHeight="1" x14ac:dyDescent="0.2">
      <c r="A13" s="19" t="s">
        <v>19</v>
      </c>
      <c r="B13" s="19" t="s">
        <v>20</v>
      </c>
      <c r="C13" s="20" t="s">
        <v>48</v>
      </c>
      <c r="D13" s="21" t="s">
        <v>49</v>
      </c>
      <c r="E13" s="17">
        <v>2</v>
      </c>
      <c r="F13" s="18" t="s">
        <v>23</v>
      </c>
      <c r="G13" s="21" t="s">
        <v>50</v>
      </c>
      <c r="H13" s="21" t="s">
        <v>33</v>
      </c>
    </row>
    <row r="14" spans="1:8" ht="30" customHeight="1" x14ac:dyDescent="0.2">
      <c r="A14" s="14" t="s">
        <v>19</v>
      </c>
      <c r="B14" s="14" t="s">
        <v>20</v>
      </c>
      <c r="C14" s="15" t="s">
        <v>51</v>
      </c>
      <c r="D14" s="16" t="s">
        <v>52</v>
      </c>
      <c r="E14" s="17">
        <v>2</v>
      </c>
      <c r="F14" s="18" t="s">
        <v>12</v>
      </c>
      <c r="G14" s="16" t="s">
        <v>53</v>
      </c>
      <c r="H14" s="16" t="s">
        <v>54</v>
      </c>
    </row>
    <row r="15" spans="1:8" ht="30" customHeight="1" x14ac:dyDescent="0.2">
      <c r="A15" s="19" t="s">
        <v>19</v>
      </c>
      <c r="B15" s="19" t="s">
        <v>20</v>
      </c>
      <c r="C15" s="20" t="s">
        <v>55</v>
      </c>
      <c r="D15" s="21" t="s">
        <v>56</v>
      </c>
      <c r="E15" s="23">
        <v>3</v>
      </c>
      <c r="F15" s="18" t="s">
        <v>23</v>
      </c>
      <c r="G15" s="21" t="s">
        <v>57</v>
      </c>
      <c r="H15" s="21" t="s">
        <v>33</v>
      </c>
    </row>
    <row r="16" spans="1:8" ht="18" customHeight="1" x14ac:dyDescent="0.2">
      <c r="A16" s="13" t="s">
        <v>58</v>
      </c>
      <c r="B16" s="13" t="s">
        <v>59</v>
      </c>
      <c r="C16" s="13"/>
      <c r="D16" s="13"/>
      <c r="E16" s="13"/>
      <c r="F16" s="13"/>
      <c r="G16" s="13"/>
      <c r="H16" s="13"/>
    </row>
    <row r="17" spans="1:8" ht="30" customHeight="1" x14ac:dyDescent="0.2">
      <c r="A17" s="14" t="s">
        <v>58</v>
      </c>
      <c r="B17" s="14" t="s">
        <v>59</v>
      </c>
      <c r="C17" s="15" t="s">
        <v>60</v>
      </c>
      <c r="D17" s="16" t="s">
        <v>61</v>
      </c>
      <c r="E17" s="22">
        <v>1</v>
      </c>
      <c r="F17" s="18" t="s">
        <v>23</v>
      </c>
      <c r="G17" s="16" t="s">
        <v>62</v>
      </c>
      <c r="H17" s="16" t="s">
        <v>33</v>
      </c>
    </row>
    <row r="18" spans="1:8" ht="30" customHeight="1" x14ac:dyDescent="0.2">
      <c r="A18" s="19" t="s">
        <v>58</v>
      </c>
      <c r="B18" s="19" t="s">
        <v>59</v>
      </c>
      <c r="C18" s="20" t="s">
        <v>63</v>
      </c>
      <c r="D18" s="21" t="s">
        <v>64</v>
      </c>
      <c r="E18" s="22">
        <v>1</v>
      </c>
      <c r="F18" s="18" t="s">
        <v>12</v>
      </c>
      <c r="G18" s="21" t="s">
        <v>65</v>
      </c>
      <c r="H18" s="21" t="s">
        <v>66</v>
      </c>
    </row>
    <row r="19" spans="1:8" ht="30" customHeight="1" x14ac:dyDescent="0.2">
      <c r="A19" s="14" t="s">
        <v>58</v>
      </c>
      <c r="B19" s="14" t="s">
        <v>59</v>
      </c>
      <c r="C19" s="15" t="s">
        <v>67</v>
      </c>
      <c r="D19" s="16" t="s">
        <v>68</v>
      </c>
      <c r="E19" s="17">
        <v>2</v>
      </c>
      <c r="F19" s="18" t="s">
        <v>12</v>
      </c>
      <c r="G19" s="16" t="s">
        <v>69</v>
      </c>
      <c r="H19" s="16" t="s">
        <v>70</v>
      </c>
    </row>
    <row r="20" spans="1:8" ht="30" customHeight="1" x14ac:dyDescent="0.2">
      <c r="A20" s="19" t="s">
        <v>58</v>
      </c>
      <c r="B20" s="19" t="s">
        <v>59</v>
      </c>
      <c r="C20" s="20" t="s">
        <v>71</v>
      </c>
      <c r="D20" s="21" t="s">
        <v>72</v>
      </c>
      <c r="E20" s="17">
        <v>2</v>
      </c>
      <c r="F20" s="18" t="s">
        <v>23</v>
      </c>
      <c r="G20" s="21" t="s">
        <v>73</v>
      </c>
      <c r="H20" s="21" t="s">
        <v>33</v>
      </c>
    </row>
    <row r="21" spans="1:8" ht="30" customHeight="1" x14ac:dyDescent="0.2">
      <c r="A21" s="14" t="s">
        <v>58</v>
      </c>
      <c r="B21" s="14" t="s">
        <v>59</v>
      </c>
      <c r="C21" s="15" t="s">
        <v>74</v>
      </c>
      <c r="D21" s="16" t="s">
        <v>75</v>
      </c>
      <c r="E21" s="17">
        <v>2</v>
      </c>
      <c r="F21" s="18" t="s">
        <v>23</v>
      </c>
      <c r="G21" s="16" t="s">
        <v>76</v>
      </c>
      <c r="H21" s="16" t="s">
        <v>33</v>
      </c>
    </row>
    <row r="22" spans="1:8" ht="30" customHeight="1" x14ac:dyDescent="0.2">
      <c r="A22" s="19" t="s">
        <v>58</v>
      </c>
      <c r="B22" s="19" t="s">
        <v>59</v>
      </c>
      <c r="C22" s="20" t="s">
        <v>77</v>
      </c>
      <c r="D22" s="21" t="s">
        <v>78</v>
      </c>
      <c r="E22" s="17">
        <v>2</v>
      </c>
      <c r="F22" s="18" t="s">
        <v>12</v>
      </c>
      <c r="G22" s="21" t="s">
        <v>79</v>
      </c>
      <c r="H22" s="21" t="s">
        <v>80</v>
      </c>
    </row>
    <row r="23" spans="1:8" ht="30" customHeight="1" x14ac:dyDescent="0.2">
      <c r="A23" s="14" t="s">
        <v>58</v>
      </c>
      <c r="B23" s="14" t="s">
        <v>59</v>
      </c>
      <c r="C23" s="15" t="s">
        <v>81</v>
      </c>
      <c r="D23" s="16" t="s">
        <v>82</v>
      </c>
      <c r="E23" s="17">
        <v>2</v>
      </c>
      <c r="F23" s="18" t="s">
        <v>12</v>
      </c>
      <c r="G23" s="16" t="s">
        <v>83</v>
      </c>
      <c r="H23" s="16" t="s">
        <v>84</v>
      </c>
    </row>
    <row r="24" spans="1:8" ht="30" customHeight="1" x14ac:dyDescent="0.2">
      <c r="A24" s="19" t="s">
        <v>58</v>
      </c>
      <c r="B24" s="19" t="s">
        <v>59</v>
      </c>
      <c r="C24" s="20" t="s">
        <v>85</v>
      </c>
      <c r="D24" s="21" t="s">
        <v>86</v>
      </c>
      <c r="E24" s="17">
        <v>2</v>
      </c>
      <c r="F24" s="18" t="s">
        <v>23</v>
      </c>
      <c r="G24" s="21" t="s">
        <v>87</v>
      </c>
      <c r="H24" s="21" t="s">
        <v>33</v>
      </c>
    </row>
    <row r="25" spans="1:8" ht="30" customHeight="1" x14ac:dyDescent="0.2">
      <c r="A25" s="14" t="s">
        <v>58</v>
      </c>
      <c r="B25" s="14" t="s">
        <v>59</v>
      </c>
      <c r="C25" s="15" t="s">
        <v>88</v>
      </c>
      <c r="D25" s="16" t="s">
        <v>89</v>
      </c>
      <c r="E25" s="17">
        <v>2</v>
      </c>
      <c r="F25" s="18" t="s">
        <v>23</v>
      </c>
      <c r="G25" s="16" t="s">
        <v>90</v>
      </c>
      <c r="H25" s="16" t="s">
        <v>33</v>
      </c>
    </row>
    <row r="26" spans="1:8" ht="30" customHeight="1" x14ac:dyDescent="0.2">
      <c r="A26" s="19" t="s">
        <v>58</v>
      </c>
      <c r="B26" s="19" t="s">
        <v>59</v>
      </c>
      <c r="C26" s="20" t="s">
        <v>91</v>
      </c>
      <c r="D26" s="21" t="s">
        <v>92</v>
      </c>
      <c r="E26" s="17">
        <v>2</v>
      </c>
      <c r="F26" s="18" t="s">
        <v>12</v>
      </c>
      <c r="G26" s="21" t="s">
        <v>93</v>
      </c>
      <c r="H26" s="21" t="s">
        <v>94</v>
      </c>
    </row>
    <row r="27" spans="1:8" ht="30" customHeight="1" x14ac:dyDescent="0.2">
      <c r="A27" s="14" t="s">
        <v>58</v>
      </c>
      <c r="B27" s="14" t="s">
        <v>59</v>
      </c>
      <c r="C27" s="15" t="s">
        <v>95</v>
      </c>
      <c r="D27" s="16" t="s">
        <v>96</v>
      </c>
      <c r="E27" s="17">
        <v>2</v>
      </c>
      <c r="F27" s="18" t="s">
        <v>23</v>
      </c>
      <c r="G27" s="16" t="s">
        <v>97</v>
      </c>
      <c r="H27" s="16" t="s">
        <v>33</v>
      </c>
    </row>
    <row r="28" spans="1:8" ht="30" customHeight="1" x14ac:dyDescent="0.2">
      <c r="A28" s="19" t="s">
        <v>58</v>
      </c>
      <c r="B28" s="19" t="s">
        <v>59</v>
      </c>
      <c r="C28" s="20" t="s">
        <v>98</v>
      </c>
      <c r="D28" s="21" t="s">
        <v>99</v>
      </c>
      <c r="E28" s="23">
        <v>3</v>
      </c>
      <c r="F28" s="18" t="s">
        <v>100</v>
      </c>
      <c r="G28" s="21" t="s">
        <v>101</v>
      </c>
      <c r="H28" s="21" t="s">
        <v>102</v>
      </c>
    </row>
    <row r="29" spans="1:8" ht="18" customHeight="1" x14ac:dyDescent="0.2">
      <c r="A29" s="13" t="s">
        <v>103</v>
      </c>
      <c r="B29" s="13" t="s">
        <v>104</v>
      </c>
      <c r="C29" s="13"/>
      <c r="D29" s="13"/>
      <c r="E29" s="13"/>
      <c r="F29" s="13"/>
      <c r="G29" s="13"/>
      <c r="H29" s="13"/>
    </row>
    <row r="30" spans="1:8" ht="30" customHeight="1" x14ac:dyDescent="0.2">
      <c r="A30" s="14" t="s">
        <v>103</v>
      </c>
      <c r="B30" s="14" t="s">
        <v>104</v>
      </c>
      <c r="C30" s="15" t="s">
        <v>105</v>
      </c>
      <c r="D30" s="16" t="s">
        <v>106</v>
      </c>
      <c r="E30" s="17">
        <v>2</v>
      </c>
      <c r="F30" s="18" t="s">
        <v>12</v>
      </c>
      <c r="G30" s="16" t="s">
        <v>107</v>
      </c>
      <c r="H30" s="16" t="s">
        <v>108</v>
      </c>
    </row>
    <row r="31" spans="1:8" ht="30" customHeight="1" x14ac:dyDescent="0.2">
      <c r="A31" s="19" t="s">
        <v>103</v>
      </c>
      <c r="B31" s="19" t="s">
        <v>104</v>
      </c>
      <c r="C31" s="20" t="s">
        <v>109</v>
      </c>
      <c r="D31" s="21" t="s">
        <v>110</v>
      </c>
      <c r="E31" s="17">
        <v>2</v>
      </c>
      <c r="F31" s="18" t="s">
        <v>12</v>
      </c>
      <c r="G31" s="21" t="s">
        <v>111</v>
      </c>
      <c r="H31" s="21" t="s">
        <v>112</v>
      </c>
    </row>
    <row r="32" spans="1:8" ht="30" customHeight="1" x14ac:dyDescent="0.2">
      <c r="A32" s="14" t="s">
        <v>103</v>
      </c>
      <c r="B32" s="14" t="s">
        <v>104</v>
      </c>
      <c r="C32" s="15" t="s">
        <v>113</v>
      </c>
      <c r="D32" s="16" t="s">
        <v>114</v>
      </c>
      <c r="E32" s="17">
        <v>2</v>
      </c>
      <c r="F32" s="18" t="s">
        <v>12</v>
      </c>
      <c r="G32" s="16" t="s">
        <v>115</v>
      </c>
      <c r="H32" s="16" t="s">
        <v>116</v>
      </c>
    </row>
    <row r="33" spans="1:8" ht="18" customHeight="1" x14ac:dyDescent="0.2">
      <c r="A33" s="13" t="s">
        <v>117</v>
      </c>
      <c r="B33" s="13" t="s">
        <v>118</v>
      </c>
      <c r="C33" s="13"/>
      <c r="D33" s="13"/>
      <c r="E33" s="13"/>
      <c r="F33" s="13"/>
      <c r="G33" s="13"/>
      <c r="H33" s="13"/>
    </row>
    <row r="34" spans="1:8" ht="30" customHeight="1" x14ac:dyDescent="0.2">
      <c r="A34" s="14" t="s">
        <v>117</v>
      </c>
      <c r="B34" s="14" t="s">
        <v>118</v>
      </c>
      <c r="C34" s="15" t="s">
        <v>119</v>
      </c>
      <c r="D34" s="16" t="s">
        <v>120</v>
      </c>
      <c r="E34" s="22">
        <v>1</v>
      </c>
      <c r="F34" s="18" t="s">
        <v>23</v>
      </c>
      <c r="G34" s="16" t="s">
        <v>121</v>
      </c>
      <c r="H34" s="16" t="s">
        <v>33</v>
      </c>
    </row>
    <row r="35" spans="1:8" ht="30" customHeight="1" x14ac:dyDescent="0.2">
      <c r="A35" s="19" t="s">
        <v>117</v>
      </c>
      <c r="B35" s="19" t="s">
        <v>118</v>
      </c>
      <c r="C35" s="20" t="s">
        <v>122</v>
      </c>
      <c r="D35" s="21" t="s">
        <v>123</v>
      </c>
      <c r="E35" s="17">
        <v>2</v>
      </c>
      <c r="F35" s="18" t="s">
        <v>12</v>
      </c>
      <c r="G35" s="21" t="s">
        <v>124</v>
      </c>
      <c r="H35" s="21" t="s">
        <v>125</v>
      </c>
    </row>
    <row r="36" spans="1:8" ht="30" customHeight="1" x14ac:dyDescent="0.2">
      <c r="A36" s="14" t="s">
        <v>117</v>
      </c>
      <c r="B36" s="14" t="s">
        <v>118</v>
      </c>
      <c r="C36" s="15" t="s">
        <v>126</v>
      </c>
      <c r="D36" s="16" t="s">
        <v>127</v>
      </c>
      <c r="E36" s="23">
        <v>3</v>
      </c>
      <c r="F36" s="18" t="s">
        <v>12</v>
      </c>
      <c r="G36" s="16" t="s">
        <v>128</v>
      </c>
      <c r="H36" s="16" t="s">
        <v>129</v>
      </c>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130" zoomScaleNormal="130" workbookViewId="0">
      <pane ySplit="1" topLeftCell="A2" activePane="bottomLeft" state="frozen"/>
      <selection pane="bottomLeft" activeCell="F3" sqref="F3"/>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163</v>
      </c>
      <c r="B2" s="13" t="s">
        <v>164</v>
      </c>
      <c r="C2" s="13"/>
      <c r="D2" s="13"/>
      <c r="E2" s="13"/>
      <c r="F2" s="13"/>
      <c r="G2" s="13"/>
      <c r="H2" s="13"/>
    </row>
    <row r="3" spans="1:8" ht="30" customHeight="1" x14ac:dyDescent="0.2">
      <c r="A3" s="14" t="s">
        <v>163</v>
      </c>
      <c r="B3" s="14" t="s">
        <v>164</v>
      </c>
      <c r="C3" s="15" t="s">
        <v>165</v>
      </c>
      <c r="D3" s="16" t="s">
        <v>166</v>
      </c>
      <c r="E3" s="22">
        <v>1</v>
      </c>
      <c r="F3" s="18" t="s">
        <v>12</v>
      </c>
      <c r="G3" s="16" t="s">
        <v>167</v>
      </c>
      <c r="H3" s="16" t="s">
        <v>168</v>
      </c>
    </row>
    <row r="4" spans="1:8" ht="30" customHeight="1" x14ac:dyDescent="0.2">
      <c r="A4" s="19" t="s">
        <v>163</v>
      </c>
      <c r="B4" s="19" t="s">
        <v>164</v>
      </c>
      <c r="C4" s="20" t="s">
        <v>169</v>
      </c>
      <c r="D4" s="21" t="s">
        <v>170</v>
      </c>
      <c r="E4" s="17">
        <v>2</v>
      </c>
      <c r="F4" s="18" t="s">
        <v>12</v>
      </c>
      <c r="G4" s="21" t="s">
        <v>171</v>
      </c>
      <c r="H4" s="21" t="s">
        <v>172</v>
      </c>
    </row>
    <row r="5" spans="1:8" ht="30" customHeight="1" x14ac:dyDescent="0.2">
      <c r="A5" s="14" t="s">
        <v>163</v>
      </c>
      <c r="B5" s="14" t="s">
        <v>164</v>
      </c>
      <c r="C5" s="15" t="s">
        <v>173</v>
      </c>
      <c r="D5" s="16" t="s">
        <v>174</v>
      </c>
      <c r="E5" s="17">
        <v>2</v>
      </c>
      <c r="F5" s="18" t="s">
        <v>12</v>
      </c>
      <c r="G5" s="16" t="s">
        <v>175</v>
      </c>
      <c r="H5" s="16" t="s">
        <v>176</v>
      </c>
    </row>
    <row r="6" spans="1:8" ht="18" customHeight="1" x14ac:dyDescent="0.2">
      <c r="A6" s="13" t="s">
        <v>177</v>
      </c>
      <c r="B6" s="13" t="s">
        <v>178</v>
      </c>
      <c r="C6" s="13"/>
      <c r="D6" s="13"/>
      <c r="E6" s="13"/>
      <c r="F6" s="13"/>
      <c r="G6" s="13"/>
      <c r="H6" s="13"/>
    </row>
    <row r="7" spans="1:8" ht="30" customHeight="1" x14ac:dyDescent="0.2">
      <c r="A7" s="14" t="s">
        <v>177</v>
      </c>
      <c r="B7" s="14" t="s">
        <v>178</v>
      </c>
      <c r="C7" s="15" t="s">
        <v>179</v>
      </c>
      <c r="D7" s="16" t="s">
        <v>180</v>
      </c>
      <c r="E7" s="22">
        <v>1</v>
      </c>
      <c r="F7" s="18" t="s">
        <v>12</v>
      </c>
      <c r="G7" s="16" t="s">
        <v>181</v>
      </c>
      <c r="H7" s="16" t="s">
        <v>182</v>
      </c>
    </row>
    <row r="8" spans="1:8" ht="30" customHeight="1" x14ac:dyDescent="0.2">
      <c r="A8" s="19" t="s">
        <v>177</v>
      </c>
      <c r="B8" s="19" t="s">
        <v>178</v>
      </c>
      <c r="C8" s="20" t="s">
        <v>183</v>
      </c>
      <c r="D8" s="21" t="s">
        <v>184</v>
      </c>
      <c r="E8" s="22">
        <v>1</v>
      </c>
      <c r="F8" s="18" t="s">
        <v>12</v>
      </c>
      <c r="G8" s="21" t="s">
        <v>185</v>
      </c>
      <c r="H8" s="21" t="s">
        <v>186</v>
      </c>
    </row>
    <row r="9" spans="1:8" ht="30" customHeight="1" x14ac:dyDescent="0.2">
      <c r="A9" s="14" t="s">
        <v>177</v>
      </c>
      <c r="B9" s="14" t="s">
        <v>178</v>
      </c>
      <c r="C9" s="15" t="s">
        <v>187</v>
      </c>
      <c r="D9" s="16" t="s">
        <v>188</v>
      </c>
      <c r="E9" s="17">
        <v>2</v>
      </c>
      <c r="F9" s="18" t="s">
        <v>12</v>
      </c>
      <c r="G9" s="16" t="s">
        <v>189</v>
      </c>
      <c r="H9" s="16" t="s">
        <v>190</v>
      </c>
    </row>
    <row r="10" spans="1:8" ht="18" customHeight="1" x14ac:dyDescent="0.2">
      <c r="A10" s="13" t="s">
        <v>191</v>
      </c>
      <c r="B10" s="13" t="s">
        <v>192</v>
      </c>
      <c r="C10" s="13"/>
      <c r="D10" s="13"/>
      <c r="E10" s="13"/>
      <c r="F10" s="13"/>
      <c r="G10" s="13"/>
      <c r="H10" s="13"/>
    </row>
    <row r="11" spans="1:8" ht="30" customHeight="1" x14ac:dyDescent="0.2">
      <c r="A11" s="14" t="s">
        <v>191</v>
      </c>
      <c r="B11" s="14" t="s">
        <v>192</v>
      </c>
      <c r="C11" s="15" t="s">
        <v>193</v>
      </c>
      <c r="D11" s="16" t="s">
        <v>194</v>
      </c>
      <c r="E11" s="22">
        <v>1</v>
      </c>
      <c r="F11" s="18" t="s">
        <v>100</v>
      </c>
      <c r="G11" s="16" t="s">
        <v>195</v>
      </c>
      <c r="H11" s="16" t="s">
        <v>196</v>
      </c>
    </row>
    <row r="12" spans="1:8" ht="30" customHeight="1" x14ac:dyDescent="0.2">
      <c r="A12" s="19" t="s">
        <v>191</v>
      </c>
      <c r="B12" s="19" t="s">
        <v>192</v>
      </c>
      <c r="C12" s="20" t="s">
        <v>197</v>
      </c>
      <c r="D12" s="21" t="s">
        <v>198</v>
      </c>
      <c r="E12" s="17">
        <v>2</v>
      </c>
      <c r="F12" s="18" t="s">
        <v>12</v>
      </c>
      <c r="G12" s="21" t="s">
        <v>199</v>
      </c>
      <c r="H12" s="21" t="s">
        <v>200</v>
      </c>
    </row>
    <row r="13" spans="1:8" ht="30" customHeight="1" x14ac:dyDescent="0.2">
      <c r="A13" s="14" t="s">
        <v>191</v>
      </c>
      <c r="B13" s="14" t="s">
        <v>192</v>
      </c>
      <c r="C13" s="15" t="s">
        <v>201</v>
      </c>
      <c r="D13" s="16" t="s">
        <v>202</v>
      </c>
      <c r="E13" s="17">
        <v>2</v>
      </c>
      <c r="F13" s="18" t="s">
        <v>12</v>
      </c>
      <c r="G13" s="16" t="s">
        <v>203</v>
      </c>
      <c r="H13" s="16" t="s">
        <v>204</v>
      </c>
    </row>
    <row r="14" spans="1:8" ht="30" customHeight="1" x14ac:dyDescent="0.2">
      <c r="A14" s="19" t="s">
        <v>191</v>
      </c>
      <c r="B14" s="19" t="s">
        <v>192</v>
      </c>
      <c r="C14" s="20" t="s">
        <v>205</v>
      </c>
      <c r="D14" s="21" t="s">
        <v>206</v>
      </c>
      <c r="E14" s="17">
        <v>2</v>
      </c>
      <c r="F14" s="18" t="s">
        <v>12</v>
      </c>
      <c r="G14" s="21" t="s">
        <v>207</v>
      </c>
      <c r="H14" s="21" t="s">
        <v>208</v>
      </c>
    </row>
    <row r="15" spans="1:8" ht="30" customHeight="1" x14ac:dyDescent="0.2">
      <c r="A15" s="14" t="s">
        <v>191</v>
      </c>
      <c r="B15" s="14" t="s">
        <v>192</v>
      </c>
      <c r="C15" s="15" t="s">
        <v>209</v>
      </c>
      <c r="D15" s="16" t="s">
        <v>210</v>
      </c>
      <c r="E15" s="23">
        <v>3</v>
      </c>
      <c r="F15" s="18" t="s">
        <v>23</v>
      </c>
      <c r="G15" s="16" t="s">
        <v>211</v>
      </c>
      <c r="H15" s="16" t="s">
        <v>33</v>
      </c>
    </row>
    <row r="16" spans="1:8" ht="18" customHeight="1" x14ac:dyDescent="0.2">
      <c r="A16" s="13" t="s">
        <v>212</v>
      </c>
      <c r="B16" s="13" t="s">
        <v>213</v>
      </c>
      <c r="C16" s="13"/>
      <c r="D16" s="13"/>
      <c r="E16" s="13"/>
      <c r="F16" s="13"/>
      <c r="G16" s="13"/>
      <c r="H16" s="13"/>
    </row>
    <row r="17" spans="1:8" ht="30" customHeight="1" x14ac:dyDescent="0.2">
      <c r="A17" s="14" t="s">
        <v>212</v>
      </c>
      <c r="B17" s="14" t="s">
        <v>213</v>
      </c>
      <c r="C17" s="15" t="s">
        <v>214</v>
      </c>
      <c r="D17" s="16" t="s">
        <v>215</v>
      </c>
      <c r="E17" s="17">
        <v>2</v>
      </c>
      <c r="F17" s="18" t="s">
        <v>216</v>
      </c>
      <c r="G17" s="16" t="s">
        <v>217</v>
      </c>
      <c r="H17" s="16" t="s">
        <v>218</v>
      </c>
    </row>
    <row r="18" spans="1:8" ht="30" customHeight="1" x14ac:dyDescent="0.2">
      <c r="A18" s="19" t="s">
        <v>212</v>
      </c>
      <c r="B18" s="19" t="s">
        <v>213</v>
      </c>
      <c r="C18" s="20" t="s">
        <v>219</v>
      </c>
      <c r="D18" s="21" t="s">
        <v>220</v>
      </c>
      <c r="E18" s="23">
        <v>3</v>
      </c>
      <c r="F18" s="18" t="s">
        <v>100</v>
      </c>
      <c r="G18" s="21" t="s">
        <v>221</v>
      </c>
      <c r="H18" s="21" t="s">
        <v>222</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223</v>
      </c>
      <c r="B2" s="13" t="s">
        <v>224</v>
      </c>
      <c r="C2" s="13"/>
      <c r="D2" s="13"/>
      <c r="E2" s="13"/>
      <c r="F2" s="13"/>
      <c r="G2" s="13"/>
      <c r="H2" s="13"/>
    </row>
    <row r="3" spans="1:8" ht="30" customHeight="1" x14ac:dyDescent="0.2">
      <c r="A3" s="14" t="s">
        <v>223</v>
      </c>
      <c r="B3" s="14" t="s">
        <v>224</v>
      </c>
      <c r="C3" s="15" t="s">
        <v>225</v>
      </c>
      <c r="D3" s="16" t="s">
        <v>226</v>
      </c>
      <c r="E3" s="23">
        <v>3</v>
      </c>
      <c r="F3" s="18" t="s">
        <v>100</v>
      </c>
      <c r="G3" s="16" t="s">
        <v>227</v>
      </c>
      <c r="H3" s="16" t="s">
        <v>228</v>
      </c>
    </row>
    <row r="4" spans="1:8" ht="18" customHeight="1" x14ac:dyDescent="0.2">
      <c r="A4" s="13" t="s">
        <v>229</v>
      </c>
      <c r="B4" s="13" t="s">
        <v>230</v>
      </c>
      <c r="C4" s="13"/>
      <c r="D4" s="13"/>
      <c r="E4" s="13"/>
      <c r="F4" s="13"/>
      <c r="G4" s="13"/>
      <c r="H4" s="13"/>
    </row>
    <row r="5" spans="1:8" ht="30" customHeight="1" x14ac:dyDescent="0.2">
      <c r="A5" s="14" t="s">
        <v>229</v>
      </c>
      <c r="B5" s="14" t="s">
        <v>230</v>
      </c>
      <c r="C5" s="15" t="s">
        <v>231</v>
      </c>
      <c r="D5" s="16" t="s">
        <v>232</v>
      </c>
      <c r="E5" s="22">
        <v>1</v>
      </c>
      <c r="F5" s="18" t="s">
        <v>23</v>
      </c>
      <c r="G5" s="16" t="s">
        <v>233</v>
      </c>
      <c r="H5" s="16" t="s">
        <v>25</v>
      </c>
    </row>
    <row r="6" spans="1:8" ht="30" customHeight="1" x14ac:dyDescent="0.2">
      <c r="A6" s="19" t="s">
        <v>229</v>
      </c>
      <c r="B6" s="19" t="s">
        <v>230</v>
      </c>
      <c r="C6" s="20" t="s">
        <v>234</v>
      </c>
      <c r="D6" s="21" t="s">
        <v>235</v>
      </c>
      <c r="E6" s="22">
        <v>1</v>
      </c>
      <c r="F6" s="18" t="s">
        <v>23</v>
      </c>
      <c r="G6" s="21" t="s">
        <v>236</v>
      </c>
      <c r="H6" s="21" t="s">
        <v>33</v>
      </c>
    </row>
    <row r="7" spans="1:8" ht="30" customHeight="1" x14ac:dyDescent="0.2">
      <c r="A7" s="14" t="s">
        <v>229</v>
      </c>
      <c r="B7" s="14" t="s">
        <v>230</v>
      </c>
      <c r="C7" s="15" t="s">
        <v>237</v>
      </c>
      <c r="D7" s="16" t="s">
        <v>238</v>
      </c>
      <c r="E7" s="23">
        <v>3</v>
      </c>
      <c r="F7" s="18" t="s">
        <v>23</v>
      </c>
      <c r="G7" s="16" t="s">
        <v>239</v>
      </c>
      <c r="H7" s="16" t="s">
        <v>33</v>
      </c>
    </row>
    <row r="8" spans="1:8" ht="18" customHeight="1" x14ac:dyDescent="0.2">
      <c r="A8" s="13" t="s">
        <v>240</v>
      </c>
      <c r="B8" s="13" t="s">
        <v>241</v>
      </c>
      <c r="C8" s="13"/>
      <c r="D8" s="13"/>
      <c r="E8" s="13"/>
      <c r="F8" s="13"/>
      <c r="G8" s="13"/>
      <c r="H8" s="13"/>
    </row>
    <row r="9" spans="1:8" ht="30" customHeight="1" x14ac:dyDescent="0.2">
      <c r="A9" s="14" t="s">
        <v>240</v>
      </c>
      <c r="B9" s="14" t="s">
        <v>241</v>
      </c>
      <c r="C9" s="15" t="s">
        <v>242</v>
      </c>
      <c r="D9" s="16" t="s">
        <v>243</v>
      </c>
      <c r="E9" s="22">
        <v>1</v>
      </c>
      <c r="F9" s="18" t="s">
        <v>23</v>
      </c>
      <c r="G9" s="16" t="s">
        <v>244</v>
      </c>
      <c r="H9" s="16" t="s">
        <v>245</v>
      </c>
    </row>
    <row r="10" spans="1:8" ht="30" customHeight="1" x14ac:dyDescent="0.2">
      <c r="A10" s="19" t="s">
        <v>240</v>
      </c>
      <c r="B10" s="19" t="s">
        <v>241</v>
      </c>
      <c r="C10" s="20" t="s">
        <v>246</v>
      </c>
      <c r="D10" s="21" t="s">
        <v>247</v>
      </c>
      <c r="E10" s="17">
        <v>2</v>
      </c>
      <c r="F10" s="18" t="s">
        <v>23</v>
      </c>
      <c r="G10" s="21" t="s">
        <v>248</v>
      </c>
      <c r="H10" s="21" t="s">
        <v>33</v>
      </c>
    </row>
    <row r="11" spans="1:8" ht="30" customHeight="1" x14ac:dyDescent="0.2">
      <c r="A11" s="14" t="s">
        <v>240</v>
      </c>
      <c r="B11" s="14" t="s">
        <v>241</v>
      </c>
      <c r="C11" s="15" t="s">
        <v>249</v>
      </c>
      <c r="D11" s="16" t="s">
        <v>250</v>
      </c>
      <c r="E11" s="17">
        <v>2</v>
      </c>
      <c r="F11" s="18" t="s">
        <v>23</v>
      </c>
      <c r="G11" s="16" t="s">
        <v>251</v>
      </c>
      <c r="H11" s="16" t="s">
        <v>33</v>
      </c>
    </row>
    <row r="12" spans="1:8" ht="30" customHeight="1" x14ac:dyDescent="0.2">
      <c r="A12" s="19" t="s">
        <v>240</v>
      </c>
      <c r="B12" s="19" t="s">
        <v>241</v>
      </c>
      <c r="C12" s="20" t="s">
        <v>252</v>
      </c>
      <c r="D12" s="21" t="s">
        <v>253</v>
      </c>
      <c r="E12" s="17">
        <v>2</v>
      </c>
      <c r="F12" s="18" t="s">
        <v>23</v>
      </c>
      <c r="G12" s="21" t="s">
        <v>254</v>
      </c>
      <c r="H12" s="21" t="s">
        <v>33</v>
      </c>
    </row>
    <row r="13" spans="1:8" ht="30" customHeight="1" x14ac:dyDescent="0.2">
      <c r="A13" s="14" t="s">
        <v>240</v>
      </c>
      <c r="B13" s="14" t="s">
        <v>241</v>
      </c>
      <c r="C13" s="15" t="s">
        <v>255</v>
      </c>
      <c r="D13" s="16" t="s">
        <v>256</v>
      </c>
      <c r="E13" s="23">
        <v>3</v>
      </c>
      <c r="F13" s="18" t="s">
        <v>23</v>
      </c>
      <c r="G13" s="16" t="s">
        <v>257</v>
      </c>
      <c r="H13" s="16" t="s">
        <v>33</v>
      </c>
    </row>
    <row r="14" spans="1:8" ht="18" customHeight="1" x14ac:dyDescent="0.2">
      <c r="A14" s="13" t="s">
        <v>258</v>
      </c>
      <c r="B14" s="13" t="s">
        <v>259</v>
      </c>
      <c r="C14" s="13"/>
      <c r="D14" s="13"/>
      <c r="E14" s="13"/>
      <c r="F14" s="13"/>
      <c r="G14" s="13"/>
      <c r="H14" s="13"/>
    </row>
    <row r="15" spans="1:8" ht="30" customHeight="1" x14ac:dyDescent="0.2">
      <c r="A15" s="14" t="s">
        <v>258</v>
      </c>
      <c r="B15" s="14" t="s">
        <v>259</v>
      </c>
      <c r="C15" s="15" t="s">
        <v>260</v>
      </c>
      <c r="D15" s="16" t="s">
        <v>261</v>
      </c>
      <c r="E15" s="22">
        <v>1</v>
      </c>
      <c r="F15" s="18" t="s">
        <v>100</v>
      </c>
      <c r="G15" s="16" t="s">
        <v>262</v>
      </c>
      <c r="H15" s="16" t="s">
        <v>263</v>
      </c>
    </row>
    <row r="16" spans="1:8" ht="30" customHeight="1" x14ac:dyDescent="0.2">
      <c r="A16" s="19" t="s">
        <v>258</v>
      </c>
      <c r="B16" s="19" t="s">
        <v>259</v>
      </c>
      <c r="C16" s="20" t="s">
        <v>264</v>
      </c>
      <c r="D16" s="21" t="s">
        <v>265</v>
      </c>
      <c r="E16" s="22">
        <v>1</v>
      </c>
      <c r="F16" s="18" t="s">
        <v>100</v>
      </c>
      <c r="G16" s="21" t="s">
        <v>266</v>
      </c>
      <c r="H16" s="21" t="s">
        <v>267</v>
      </c>
    </row>
    <row r="17" spans="1:8" ht="30" customHeight="1" x14ac:dyDescent="0.2">
      <c r="A17" s="14" t="s">
        <v>258</v>
      </c>
      <c r="B17" s="14" t="s">
        <v>259</v>
      </c>
      <c r="C17" s="15" t="s">
        <v>268</v>
      </c>
      <c r="D17" s="16" t="s">
        <v>269</v>
      </c>
      <c r="E17" s="17">
        <v>2</v>
      </c>
      <c r="F17" s="18" t="s">
        <v>100</v>
      </c>
      <c r="G17" s="16" t="s">
        <v>270</v>
      </c>
      <c r="H17" s="16" t="s">
        <v>271</v>
      </c>
    </row>
    <row r="18" spans="1:8" ht="30" customHeight="1" x14ac:dyDescent="0.2">
      <c r="A18" s="19" t="s">
        <v>258</v>
      </c>
      <c r="B18" s="19" t="s">
        <v>259</v>
      </c>
      <c r="C18" s="20" t="s">
        <v>272</v>
      </c>
      <c r="D18" s="21" t="s">
        <v>273</v>
      </c>
      <c r="E18" s="17">
        <v>2</v>
      </c>
      <c r="F18" s="18" t="s">
        <v>23</v>
      </c>
      <c r="G18" s="21" t="s">
        <v>274</v>
      </c>
      <c r="H18" s="21" t="s">
        <v>33</v>
      </c>
    </row>
    <row r="19" spans="1:8" ht="30" customHeight="1" x14ac:dyDescent="0.2">
      <c r="A19" s="14" t="s">
        <v>258</v>
      </c>
      <c r="B19" s="14" t="s">
        <v>259</v>
      </c>
      <c r="C19" s="15" t="s">
        <v>275</v>
      </c>
      <c r="D19" s="16" t="s">
        <v>276</v>
      </c>
      <c r="E19" s="17">
        <v>2</v>
      </c>
      <c r="F19" s="18" t="s">
        <v>100</v>
      </c>
      <c r="G19" s="16" t="s">
        <v>277</v>
      </c>
      <c r="H19" s="16" t="s">
        <v>278</v>
      </c>
    </row>
    <row r="20" spans="1:8" ht="30" customHeight="1" x14ac:dyDescent="0.2">
      <c r="A20" s="19" t="s">
        <v>258</v>
      </c>
      <c r="B20" s="19" t="s">
        <v>259</v>
      </c>
      <c r="C20" s="20" t="s">
        <v>279</v>
      </c>
      <c r="D20" s="21" t="s">
        <v>280</v>
      </c>
      <c r="E20" s="17">
        <v>2</v>
      </c>
      <c r="F20" s="18" t="s">
        <v>100</v>
      </c>
      <c r="G20" s="21" t="s">
        <v>281</v>
      </c>
      <c r="H20" s="21" t="s">
        <v>282</v>
      </c>
    </row>
    <row r="21" spans="1:8" ht="30" customHeight="1" x14ac:dyDescent="0.2">
      <c r="A21" s="14" t="s">
        <v>258</v>
      </c>
      <c r="B21" s="14" t="s">
        <v>259</v>
      </c>
      <c r="C21" s="15" t="s">
        <v>283</v>
      </c>
      <c r="D21" s="16" t="s">
        <v>284</v>
      </c>
      <c r="E21" s="23">
        <v>3</v>
      </c>
      <c r="F21" s="18" t="s">
        <v>23</v>
      </c>
      <c r="G21" s="16" t="s">
        <v>285</v>
      </c>
      <c r="H21" s="16" t="s">
        <v>33</v>
      </c>
    </row>
    <row r="22" spans="1:8" ht="30" customHeight="1" x14ac:dyDescent="0.2">
      <c r="A22" s="19" t="s">
        <v>258</v>
      </c>
      <c r="B22" s="19" t="s">
        <v>259</v>
      </c>
      <c r="C22" s="20" t="s">
        <v>286</v>
      </c>
      <c r="D22" s="21" t="s">
        <v>287</v>
      </c>
      <c r="E22" s="23">
        <v>3</v>
      </c>
      <c r="F22" s="18" t="s">
        <v>23</v>
      </c>
      <c r="G22" s="21" t="s">
        <v>288</v>
      </c>
      <c r="H22" s="21" t="s">
        <v>33</v>
      </c>
    </row>
    <row r="23" spans="1:8" ht="18" customHeight="1" x14ac:dyDescent="0.2">
      <c r="A23" s="13" t="s">
        <v>289</v>
      </c>
      <c r="B23" s="13" t="s">
        <v>290</v>
      </c>
      <c r="C23" s="13"/>
      <c r="D23" s="13"/>
      <c r="E23" s="13"/>
      <c r="F23" s="13"/>
      <c r="G23" s="13"/>
      <c r="H23" s="13"/>
    </row>
    <row r="24" spans="1:8" ht="30" customHeight="1" x14ac:dyDescent="0.2">
      <c r="A24" s="14" t="s">
        <v>289</v>
      </c>
      <c r="B24" s="14" t="s">
        <v>290</v>
      </c>
      <c r="C24" s="15" t="s">
        <v>291</v>
      </c>
      <c r="D24" s="16" t="s">
        <v>292</v>
      </c>
      <c r="E24" s="22">
        <v>1</v>
      </c>
      <c r="F24" s="18" t="s">
        <v>12</v>
      </c>
      <c r="G24" s="16" t="s">
        <v>293</v>
      </c>
      <c r="H24" s="16" t="s">
        <v>294</v>
      </c>
    </row>
    <row r="25" spans="1:8" ht="30" customHeight="1" x14ac:dyDescent="0.2">
      <c r="A25" s="19" t="s">
        <v>289</v>
      </c>
      <c r="B25" s="19" t="s">
        <v>290</v>
      </c>
      <c r="C25" s="20" t="s">
        <v>295</v>
      </c>
      <c r="D25" s="21" t="s">
        <v>296</v>
      </c>
      <c r="E25" s="22">
        <v>1</v>
      </c>
      <c r="F25" s="18" t="s">
        <v>100</v>
      </c>
      <c r="G25" s="21" t="s">
        <v>297</v>
      </c>
      <c r="H25" s="21" t="s">
        <v>298</v>
      </c>
    </row>
    <row r="26" spans="1:8" ht="30" customHeight="1" x14ac:dyDescent="0.2">
      <c r="A26" s="14" t="s">
        <v>289</v>
      </c>
      <c r="B26" s="14" t="s">
        <v>290</v>
      </c>
      <c r="C26" s="15" t="s">
        <v>299</v>
      </c>
      <c r="D26" s="16" t="s">
        <v>300</v>
      </c>
      <c r="E26" s="22">
        <v>1</v>
      </c>
      <c r="F26" s="18" t="s">
        <v>12</v>
      </c>
      <c r="G26" s="16" t="s">
        <v>301</v>
      </c>
      <c r="H26" s="16" t="s">
        <v>302</v>
      </c>
    </row>
    <row r="27" spans="1:8" ht="30" customHeight="1" x14ac:dyDescent="0.2">
      <c r="A27" s="19" t="s">
        <v>289</v>
      </c>
      <c r="B27" s="19" t="s">
        <v>290</v>
      </c>
      <c r="C27" s="20" t="s">
        <v>303</v>
      </c>
      <c r="D27" s="21" t="s">
        <v>304</v>
      </c>
      <c r="E27" s="17">
        <v>2</v>
      </c>
      <c r="F27" s="18" t="s">
        <v>23</v>
      </c>
      <c r="G27" s="21" t="s">
        <v>305</v>
      </c>
      <c r="H27" s="21" t="s">
        <v>33</v>
      </c>
    </row>
    <row r="28" spans="1:8" ht="30" customHeight="1" x14ac:dyDescent="0.2">
      <c r="A28" s="14" t="s">
        <v>289</v>
      </c>
      <c r="B28" s="14" t="s">
        <v>290</v>
      </c>
      <c r="C28" s="15" t="s">
        <v>306</v>
      </c>
      <c r="D28" s="16" t="s">
        <v>307</v>
      </c>
      <c r="E28" s="17">
        <v>2</v>
      </c>
      <c r="F28" s="18" t="s">
        <v>23</v>
      </c>
      <c r="G28" s="16" t="s">
        <v>308</v>
      </c>
      <c r="H28" s="16" t="s">
        <v>33</v>
      </c>
    </row>
    <row r="29" spans="1:8" ht="30" customHeight="1" x14ac:dyDescent="0.2">
      <c r="A29" s="19" t="s">
        <v>289</v>
      </c>
      <c r="B29" s="19" t="s">
        <v>290</v>
      </c>
      <c r="C29" s="20" t="s">
        <v>309</v>
      </c>
      <c r="D29" s="21" t="s">
        <v>310</v>
      </c>
      <c r="E29" s="23">
        <v>3</v>
      </c>
      <c r="F29" s="18" t="s">
        <v>12</v>
      </c>
      <c r="G29" s="21" t="s">
        <v>311</v>
      </c>
      <c r="H29" s="21" t="s">
        <v>312</v>
      </c>
    </row>
    <row r="30" spans="1:8" ht="30" customHeight="1" x14ac:dyDescent="0.2">
      <c r="A30" s="14" t="s">
        <v>289</v>
      </c>
      <c r="B30" s="14" t="s">
        <v>290</v>
      </c>
      <c r="C30" s="15" t="s">
        <v>313</v>
      </c>
      <c r="D30" s="16" t="s">
        <v>314</v>
      </c>
      <c r="E30" s="23">
        <v>3</v>
      </c>
      <c r="F30" s="18" t="s">
        <v>12</v>
      </c>
      <c r="G30" s="16" t="s">
        <v>315</v>
      </c>
      <c r="H30" s="16" t="s">
        <v>316</v>
      </c>
    </row>
    <row r="31" spans="1:8" ht="30" customHeight="1" x14ac:dyDescent="0.2">
      <c r="A31" s="19" t="s">
        <v>289</v>
      </c>
      <c r="B31" s="19" t="s">
        <v>290</v>
      </c>
      <c r="C31" s="20" t="s">
        <v>317</v>
      </c>
      <c r="D31" s="21" t="s">
        <v>318</v>
      </c>
      <c r="E31" s="23">
        <v>3</v>
      </c>
      <c r="F31" s="18" t="s">
        <v>23</v>
      </c>
      <c r="G31" s="21" t="s">
        <v>319</v>
      </c>
      <c r="H31" s="21" t="s">
        <v>320</v>
      </c>
    </row>
    <row r="32" spans="1:8" ht="18" customHeight="1" x14ac:dyDescent="0.2">
      <c r="A32" s="13" t="s">
        <v>321</v>
      </c>
      <c r="B32" s="13" t="s">
        <v>322</v>
      </c>
      <c r="C32" s="13"/>
      <c r="D32" s="13"/>
      <c r="E32" s="13"/>
      <c r="F32" s="13"/>
      <c r="G32" s="13"/>
      <c r="H32" s="13"/>
    </row>
    <row r="33" spans="1:8" ht="30" customHeight="1" x14ac:dyDescent="0.2">
      <c r="A33" s="14" t="s">
        <v>321</v>
      </c>
      <c r="B33" s="14" t="s">
        <v>322</v>
      </c>
      <c r="C33" s="15" t="s">
        <v>323</v>
      </c>
      <c r="D33" s="16" t="s">
        <v>324</v>
      </c>
      <c r="E33" s="23">
        <v>3</v>
      </c>
      <c r="F33" s="18" t="s">
        <v>23</v>
      </c>
      <c r="G33" s="16" t="s">
        <v>325</v>
      </c>
      <c r="H33" s="16" t="s">
        <v>33</v>
      </c>
    </row>
    <row r="34" spans="1:8" ht="18" customHeight="1" x14ac:dyDescent="0.2">
      <c r="A34" s="13" t="s">
        <v>326</v>
      </c>
      <c r="B34" s="13" t="s">
        <v>327</v>
      </c>
      <c r="C34" s="13"/>
      <c r="D34" s="13"/>
      <c r="E34" s="13"/>
      <c r="F34" s="13"/>
      <c r="G34" s="13"/>
      <c r="H34" s="13"/>
    </row>
    <row r="35" spans="1:8" ht="30" customHeight="1" x14ac:dyDescent="0.2">
      <c r="A35" s="14" t="s">
        <v>326</v>
      </c>
      <c r="B35" s="14" t="s">
        <v>327</v>
      </c>
      <c r="C35" s="15" t="s">
        <v>328</v>
      </c>
      <c r="D35" s="16" t="s">
        <v>329</v>
      </c>
      <c r="E35" s="17">
        <v>2</v>
      </c>
      <c r="F35" s="18" t="s">
        <v>12</v>
      </c>
      <c r="G35" s="16" t="s">
        <v>330</v>
      </c>
      <c r="H35" s="16" t="s">
        <v>331</v>
      </c>
    </row>
    <row r="36" spans="1:8" ht="30" customHeight="1" x14ac:dyDescent="0.2">
      <c r="A36" s="19" t="s">
        <v>326</v>
      </c>
      <c r="B36" s="19" t="s">
        <v>327</v>
      </c>
      <c r="C36" s="20" t="s">
        <v>332</v>
      </c>
      <c r="D36" s="21" t="s">
        <v>333</v>
      </c>
      <c r="E36" s="17">
        <v>2</v>
      </c>
      <c r="F36" s="18" t="s">
        <v>23</v>
      </c>
      <c r="G36" s="21" t="s">
        <v>334</v>
      </c>
      <c r="H36" s="21" t="s">
        <v>33</v>
      </c>
    </row>
    <row r="37" spans="1:8" ht="30" customHeight="1" x14ac:dyDescent="0.2">
      <c r="A37" s="14" t="s">
        <v>326</v>
      </c>
      <c r="B37" s="14" t="s">
        <v>327</v>
      </c>
      <c r="C37" s="15" t="s">
        <v>335</v>
      </c>
      <c r="D37" s="16" t="s">
        <v>336</v>
      </c>
      <c r="E37" s="23">
        <v>3</v>
      </c>
      <c r="F37" s="18" t="s">
        <v>23</v>
      </c>
      <c r="G37" s="16" t="s">
        <v>337</v>
      </c>
      <c r="H37" s="16" t="s">
        <v>33</v>
      </c>
    </row>
    <row r="38" spans="1:8" ht="30" customHeight="1" x14ac:dyDescent="0.2">
      <c r="A38" s="19" t="s">
        <v>326</v>
      </c>
      <c r="B38" s="19" t="s">
        <v>327</v>
      </c>
      <c r="C38" s="20" t="s">
        <v>338</v>
      </c>
      <c r="D38" s="21" t="s">
        <v>339</v>
      </c>
      <c r="E38" s="23">
        <v>3</v>
      </c>
      <c r="F38" s="18" t="s">
        <v>23</v>
      </c>
      <c r="G38" s="21" t="s">
        <v>340</v>
      </c>
      <c r="H38" s="21" t="s">
        <v>33</v>
      </c>
    </row>
    <row r="39" spans="1:8" ht="30" customHeight="1" x14ac:dyDescent="0.2">
      <c r="A39" s="14" t="s">
        <v>326</v>
      </c>
      <c r="B39" s="14" t="s">
        <v>327</v>
      </c>
      <c r="C39" s="15" t="s">
        <v>341</v>
      </c>
      <c r="D39" s="16" t="s">
        <v>342</v>
      </c>
      <c r="E39" s="23">
        <v>3</v>
      </c>
      <c r="F39" s="18" t="s">
        <v>100</v>
      </c>
      <c r="G39" s="16" t="s">
        <v>343</v>
      </c>
      <c r="H39" s="16" t="s">
        <v>344</v>
      </c>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345</v>
      </c>
      <c r="B2" s="13" t="s">
        <v>346</v>
      </c>
      <c r="C2" s="13"/>
      <c r="D2" s="13"/>
      <c r="E2" s="13"/>
      <c r="F2" s="13"/>
      <c r="G2" s="13"/>
      <c r="H2" s="13"/>
    </row>
    <row r="3" spans="1:8" ht="30" customHeight="1" x14ac:dyDescent="0.2">
      <c r="A3" s="14" t="s">
        <v>345</v>
      </c>
      <c r="B3" s="14" t="s">
        <v>346</v>
      </c>
      <c r="C3" s="15" t="s">
        <v>347</v>
      </c>
      <c r="D3" s="16" t="s">
        <v>348</v>
      </c>
      <c r="E3" s="22">
        <v>1</v>
      </c>
      <c r="F3" s="18" t="s">
        <v>12</v>
      </c>
      <c r="G3" s="16" t="s">
        <v>349</v>
      </c>
      <c r="H3" s="16" t="s">
        <v>350</v>
      </c>
    </row>
    <row r="4" spans="1:8" ht="30" customHeight="1" x14ac:dyDescent="0.2">
      <c r="A4" s="19" t="s">
        <v>345</v>
      </c>
      <c r="B4" s="19" t="s">
        <v>346</v>
      </c>
      <c r="C4" s="20" t="s">
        <v>351</v>
      </c>
      <c r="D4" s="21" t="s">
        <v>352</v>
      </c>
      <c r="E4" s="17">
        <v>2</v>
      </c>
      <c r="F4" s="18" t="s">
        <v>100</v>
      </c>
      <c r="G4" s="21" t="s">
        <v>353</v>
      </c>
      <c r="H4" s="21" t="s">
        <v>354</v>
      </c>
    </row>
    <row r="5" spans="1:8" ht="30" customHeight="1" x14ac:dyDescent="0.2">
      <c r="A5" s="14" t="s">
        <v>345</v>
      </c>
      <c r="B5" s="14" t="s">
        <v>346</v>
      </c>
      <c r="C5" s="15" t="s">
        <v>355</v>
      </c>
      <c r="D5" s="16" t="s">
        <v>356</v>
      </c>
      <c r="E5" s="17">
        <v>2</v>
      </c>
      <c r="F5" s="18" t="s">
        <v>100</v>
      </c>
      <c r="G5" s="16" t="s">
        <v>357</v>
      </c>
      <c r="H5" s="16" t="s">
        <v>358</v>
      </c>
    </row>
    <row r="6" spans="1:8" ht="30" customHeight="1" x14ac:dyDescent="0.2">
      <c r="A6" s="19" t="s">
        <v>345</v>
      </c>
      <c r="B6" s="19" t="s">
        <v>346</v>
      </c>
      <c r="C6" s="20" t="s">
        <v>359</v>
      </c>
      <c r="D6" s="21" t="s">
        <v>360</v>
      </c>
      <c r="E6" s="23">
        <v>3</v>
      </c>
      <c r="F6" s="18" t="s">
        <v>12</v>
      </c>
      <c r="G6" s="21" t="s">
        <v>361</v>
      </c>
      <c r="H6" s="21" t="s">
        <v>362</v>
      </c>
    </row>
    <row r="7" spans="1:8" ht="30" customHeight="1" x14ac:dyDescent="0.2">
      <c r="A7" s="14" t="s">
        <v>345</v>
      </c>
      <c r="B7" s="14" t="s">
        <v>346</v>
      </c>
      <c r="C7" s="15" t="s">
        <v>363</v>
      </c>
      <c r="D7" s="16" t="s">
        <v>364</v>
      </c>
      <c r="E7" s="23">
        <v>3</v>
      </c>
      <c r="F7" s="18" t="s">
        <v>100</v>
      </c>
      <c r="G7" s="16" t="s">
        <v>365</v>
      </c>
      <c r="H7" s="16" t="s">
        <v>366</v>
      </c>
    </row>
    <row r="8" spans="1:8" ht="18" customHeight="1" x14ac:dyDescent="0.2">
      <c r="A8" s="13" t="s">
        <v>367</v>
      </c>
      <c r="B8" s="13" t="s">
        <v>368</v>
      </c>
      <c r="C8" s="13"/>
      <c r="D8" s="13"/>
      <c r="E8" s="13"/>
      <c r="F8" s="13"/>
      <c r="G8" s="13"/>
      <c r="H8" s="13"/>
    </row>
    <row r="9" spans="1:8" ht="30" customHeight="1" x14ac:dyDescent="0.2">
      <c r="A9" s="14" t="s">
        <v>367</v>
      </c>
      <c r="B9" s="14" t="s">
        <v>368</v>
      </c>
      <c r="C9" s="15" t="s">
        <v>369</v>
      </c>
      <c r="D9" s="16" t="s">
        <v>370</v>
      </c>
      <c r="E9" s="17">
        <v>2</v>
      </c>
      <c r="F9" s="18" t="s">
        <v>12</v>
      </c>
      <c r="G9" s="16" t="s">
        <v>371</v>
      </c>
      <c r="H9" s="16" t="s">
        <v>372</v>
      </c>
    </row>
    <row r="10" spans="1:8" ht="30" customHeight="1" x14ac:dyDescent="0.2">
      <c r="A10" s="19" t="s">
        <v>367</v>
      </c>
      <c r="B10" s="19" t="s">
        <v>368</v>
      </c>
      <c r="C10" s="20" t="s">
        <v>373</v>
      </c>
      <c r="D10" s="21" t="s">
        <v>374</v>
      </c>
      <c r="E10" s="23">
        <v>3</v>
      </c>
      <c r="F10" s="18" t="s">
        <v>12</v>
      </c>
      <c r="G10" s="21" t="s">
        <v>375</v>
      </c>
      <c r="H10" s="21" t="s">
        <v>376</v>
      </c>
    </row>
    <row r="11" spans="1:8" ht="30" customHeight="1" x14ac:dyDescent="0.2">
      <c r="A11" s="14" t="s">
        <v>367</v>
      </c>
      <c r="B11" s="14" t="s">
        <v>368</v>
      </c>
      <c r="C11" s="15" t="s">
        <v>377</v>
      </c>
      <c r="D11" s="16" t="s">
        <v>378</v>
      </c>
      <c r="E11" s="23">
        <v>3</v>
      </c>
      <c r="F11" s="18" t="s">
        <v>23</v>
      </c>
      <c r="G11" s="16" t="s">
        <v>379</v>
      </c>
      <c r="H11" s="16" t="s">
        <v>380</v>
      </c>
    </row>
    <row r="12" spans="1:8" ht="30" customHeight="1" x14ac:dyDescent="0.2">
      <c r="A12" s="19" t="s">
        <v>367</v>
      </c>
      <c r="B12" s="19" t="s">
        <v>368</v>
      </c>
      <c r="C12" s="20" t="s">
        <v>381</v>
      </c>
      <c r="D12" s="21" t="s">
        <v>382</v>
      </c>
      <c r="E12" s="23">
        <v>3</v>
      </c>
      <c r="F12" s="18" t="s">
        <v>12</v>
      </c>
      <c r="G12" s="21" t="s">
        <v>383</v>
      </c>
      <c r="H12" s="21" t="s">
        <v>384</v>
      </c>
    </row>
    <row r="13" spans="1:8" ht="30" customHeight="1" x14ac:dyDescent="0.2">
      <c r="A13" s="14" t="s">
        <v>367</v>
      </c>
      <c r="B13" s="14" t="s">
        <v>368</v>
      </c>
      <c r="C13" s="15" t="s">
        <v>385</v>
      </c>
      <c r="D13" s="16" t="s">
        <v>386</v>
      </c>
      <c r="E13" s="23">
        <v>3</v>
      </c>
      <c r="F13" s="18" t="s">
        <v>100</v>
      </c>
      <c r="G13" s="16" t="s">
        <v>387</v>
      </c>
      <c r="H13" s="16" t="s">
        <v>388</v>
      </c>
    </row>
    <row r="14" spans="1:8" ht="18" customHeight="1" x14ac:dyDescent="0.2">
      <c r="A14" s="13" t="s">
        <v>389</v>
      </c>
      <c r="B14" s="13" t="s">
        <v>390</v>
      </c>
      <c r="C14" s="13"/>
      <c r="D14" s="13"/>
      <c r="E14" s="13"/>
      <c r="F14" s="13"/>
      <c r="G14" s="13"/>
      <c r="H14" s="13"/>
    </row>
    <row r="15" spans="1:8" ht="30" customHeight="1" x14ac:dyDescent="0.2">
      <c r="A15" s="14" t="s">
        <v>389</v>
      </c>
      <c r="B15" s="14" t="s">
        <v>390</v>
      </c>
      <c r="C15" s="15" t="s">
        <v>391</v>
      </c>
      <c r="D15" s="16" t="s">
        <v>392</v>
      </c>
      <c r="E15" s="17">
        <v>2</v>
      </c>
      <c r="F15" s="18" t="s">
        <v>23</v>
      </c>
      <c r="G15" s="16" t="s">
        <v>393</v>
      </c>
      <c r="H15" s="16" t="s">
        <v>33</v>
      </c>
    </row>
    <row r="16" spans="1:8" ht="30" customHeight="1" x14ac:dyDescent="0.2">
      <c r="A16" s="19" t="s">
        <v>389</v>
      </c>
      <c r="B16" s="19" t="s">
        <v>390</v>
      </c>
      <c r="C16" s="20" t="s">
        <v>394</v>
      </c>
      <c r="D16" s="21" t="s">
        <v>395</v>
      </c>
      <c r="E16" s="17">
        <v>2</v>
      </c>
      <c r="F16" s="18" t="s">
        <v>23</v>
      </c>
      <c r="G16" s="21" t="s">
        <v>393</v>
      </c>
      <c r="H16" s="21" t="s">
        <v>33</v>
      </c>
    </row>
    <row r="17" spans="1:8" ht="18" customHeight="1" x14ac:dyDescent="0.2">
      <c r="A17" s="13" t="s">
        <v>396</v>
      </c>
      <c r="B17" s="13" t="s">
        <v>397</v>
      </c>
      <c r="C17" s="13"/>
      <c r="D17" s="13"/>
      <c r="E17" s="13"/>
      <c r="F17" s="13"/>
      <c r="G17" s="13"/>
      <c r="H17" s="13"/>
    </row>
    <row r="18" spans="1:8" ht="30" customHeight="1" x14ac:dyDescent="0.2">
      <c r="A18" s="14" t="s">
        <v>396</v>
      </c>
      <c r="B18" s="14" t="s">
        <v>397</v>
      </c>
      <c r="C18" s="15" t="s">
        <v>398</v>
      </c>
      <c r="D18" s="16" t="s">
        <v>399</v>
      </c>
      <c r="E18" s="22">
        <v>1</v>
      </c>
      <c r="F18" s="18" t="s">
        <v>23</v>
      </c>
      <c r="G18" s="16" t="s">
        <v>400</v>
      </c>
      <c r="H18" s="16" t="s">
        <v>33</v>
      </c>
    </row>
    <row r="19" spans="1:8" ht="30" customHeight="1" x14ac:dyDescent="0.2">
      <c r="A19" s="19" t="s">
        <v>396</v>
      </c>
      <c r="B19" s="19" t="s">
        <v>397</v>
      </c>
      <c r="C19" s="20" t="s">
        <v>401</v>
      </c>
      <c r="D19" s="21" t="s">
        <v>402</v>
      </c>
      <c r="E19" s="17">
        <v>2</v>
      </c>
      <c r="F19" s="18" t="s">
        <v>23</v>
      </c>
      <c r="G19" s="21" t="s">
        <v>400</v>
      </c>
      <c r="H19" s="21" t="s">
        <v>33</v>
      </c>
    </row>
    <row r="20" spans="1:8" ht="30" customHeight="1" x14ac:dyDescent="0.2">
      <c r="A20" s="14" t="s">
        <v>396</v>
      </c>
      <c r="B20" s="14" t="s">
        <v>397</v>
      </c>
      <c r="C20" s="15" t="s">
        <v>403</v>
      </c>
      <c r="D20" s="16" t="s">
        <v>404</v>
      </c>
      <c r="E20" s="17">
        <v>2</v>
      </c>
      <c r="F20" s="18" t="s">
        <v>23</v>
      </c>
      <c r="G20" s="16" t="s">
        <v>400</v>
      </c>
      <c r="H20" s="16" t="s">
        <v>33</v>
      </c>
    </row>
    <row r="21" spans="1:8" ht="30" customHeight="1" x14ac:dyDescent="0.2">
      <c r="A21" s="19" t="s">
        <v>396</v>
      </c>
      <c r="B21" s="19" t="s">
        <v>397</v>
      </c>
      <c r="C21" s="20" t="s">
        <v>405</v>
      </c>
      <c r="D21" s="21" t="s">
        <v>406</v>
      </c>
      <c r="E21" s="17">
        <v>2</v>
      </c>
      <c r="F21" s="18" t="s">
        <v>23</v>
      </c>
      <c r="G21" s="21" t="s">
        <v>400</v>
      </c>
      <c r="H21" s="21" t="s">
        <v>33</v>
      </c>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150" zoomScaleNormal="150" workbookViewId="0">
      <pane ySplit="1" topLeftCell="A2" activePane="bottomLeft" state="frozen"/>
      <selection pane="bottomLeft" activeCell="G25" sqref="G25"/>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407</v>
      </c>
      <c r="B2" s="13" t="s">
        <v>408</v>
      </c>
      <c r="C2" s="13"/>
      <c r="D2" s="13"/>
      <c r="E2" s="13"/>
      <c r="F2" s="13"/>
      <c r="G2" s="13"/>
      <c r="H2" s="13"/>
    </row>
    <row r="3" spans="1:8" ht="30" customHeight="1" x14ac:dyDescent="0.2">
      <c r="A3" s="14" t="s">
        <v>407</v>
      </c>
      <c r="B3" s="14" t="s">
        <v>408</v>
      </c>
      <c r="C3" s="15" t="s">
        <v>409</v>
      </c>
      <c r="D3" s="16" t="s">
        <v>410</v>
      </c>
      <c r="E3" s="17">
        <v>2</v>
      </c>
      <c r="F3" s="18" t="s">
        <v>12</v>
      </c>
      <c r="G3" s="16" t="s">
        <v>411</v>
      </c>
      <c r="H3" s="16" t="s">
        <v>412</v>
      </c>
    </row>
    <row r="4" spans="1:8" ht="18" customHeight="1" x14ac:dyDescent="0.2">
      <c r="A4" s="13" t="s">
        <v>413</v>
      </c>
      <c r="B4" s="13" t="s">
        <v>414</v>
      </c>
      <c r="C4" s="13"/>
      <c r="D4" s="13"/>
      <c r="E4" s="13"/>
      <c r="F4" s="13"/>
      <c r="G4" s="13"/>
      <c r="H4" s="13"/>
    </row>
    <row r="5" spans="1:8" ht="30" customHeight="1" x14ac:dyDescent="0.2">
      <c r="A5" s="14" t="s">
        <v>413</v>
      </c>
      <c r="B5" s="14" t="s">
        <v>414</v>
      </c>
      <c r="C5" s="15" t="s">
        <v>415</v>
      </c>
      <c r="D5" s="16" t="s">
        <v>416</v>
      </c>
      <c r="E5" s="22">
        <v>1</v>
      </c>
      <c r="F5" s="18" t="s">
        <v>12</v>
      </c>
      <c r="G5" s="16" t="s">
        <v>417</v>
      </c>
      <c r="H5" s="16" t="s">
        <v>418</v>
      </c>
    </row>
    <row r="6" spans="1:8" ht="30" customHeight="1" x14ac:dyDescent="0.2">
      <c r="A6" s="19" t="s">
        <v>413</v>
      </c>
      <c r="B6" s="19" t="s">
        <v>414</v>
      </c>
      <c r="C6" s="20" t="s">
        <v>419</v>
      </c>
      <c r="D6" s="21" t="s">
        <v>420</v>
      </c>
      <c r="E6" s="22">
        <v>1</v>
      </c>
      <c r="F6" s="18" t="s">
        <v>12</v>
      </c>
      <c r="G6" s="21" t="s">
        <v>421</v>
      </c>
      <c r="H6" s="21" t="s">
        <v>422</v>
      </c>
    </row>
    <row r="7" spans="1:8" ht="30" customHeight="1" x14ac:dyDescent="0.2">
      <c r="A7" s="14" t="s">
        <v>413</v>
      </c>
      <c r="B7" s="14" t="s">
        <v>414</v>
      </c>
      <c r="C7" s="15" t="s">
        <v>423</v>
      </c>
      <c r="D7" s="16" t="s">
        <v>424</v>
      </c>
      <c r="E7" s="17">
        <v>2</v>
      </c>
      <c r="F7" s="18" t="s">
        <v>23</v>
      </c>
      <c r="G7" s="16" t="s">
        <v>425</v>
      </c>
      <c r="H7" s="16" t="s">
        <v>33</v>
      </c>
    </row>
    <row r="8" spans="1:8" ht="30" customHeight="1" x14ac:dyDescent="0.2">
      <c r="A8" s="19" t="s">
        <v>413</v>
      </c>
      <c r="B8" s="19" t="s">
        <v>414</v>
      </c>
      <c r="C8" s="20" t="s">
        <v>426</v>
      </c>
      <c r="D8" s="21" t="s">
        <v>427</v>
      </c>
      <c r="E8" s="23">
        <v>3</v>
      </c>
      <c r="F8" s="18" t="s">
        <v>23</v>
      </c>
      <c r="G8" s="21" t="s">
        <v>428</v>
      </c>
      <c r="H8" s="21" t="s">
        <v>429</v>
      </c>
    </row>
    <row r="9" spans="1:8" ht="30" customHeight="1" x14ac:dyDescent="0.2">
      <c r="A9" s="14" t="s">
        <v>413</v>
      </c>
      <c r="B9" s="14" t="s">
        <v>414</v>
      </c>
      <c r="C9" s="15" t="s">
        <v>430</v>
      </c>
      <c r="D9" s="16" t="s">
        <v>431</v>
      </c>
      <c r="E9" s="23">
        <v>3</v>
      </c>
      <c r="F9" s="18" t="s">
        <v>12</v>
      </c>
      <c r="G9" s="16" t="s">
        <v>432</v>
      </c>
      <c r="H9" s="16" t="s">
        <v>433</v>
      </c>
    </row>
    <row r="10" spans="1:8" ht="30" customHeight="1" x14ac:dyDescent="0.2">
      <c r="A10" s="19" t="s">
        <v>413</v>
      </c>
      <c r="B10" s="19" t="s">
        <v>414</v>
      </c>
      <c r="C10" s="20" t="s">
        <v>434</v>
      </c>
      <c r="D10" s="21" t="s">
        <v>435</v>
      </c>
      <c r="E10" s="23">
        <v>3</v>
      </c>
      <c r="F10" s="18" t="s">
        <v>23</v>
      </c>
      <c r="G10" s="21" t="s">
        <v>436</v>
      </c>
      <c r="H10" s="21" t="s">
        <v>437</v>
      </c>
    </row>
    <row r="11" spans="1:8" ht="18" customHeight="1" x14ac:dyDescent="0.2">
      <c r="A11" s="13" t="s">
        <v>438</v>
      </c>
      <c r="B11" s="13" t="s">
        <v>439</v>
      </c>
      <c r="C11" s="13"/>
      <c r="D11" s="13"/>
      <c r="E11" s="13"/>
      <c r="F11" s="13"/>
      <c r="G11" s="13"/>
      <c r="H11" s="13"/>
    </row>
    <row r="12" spans="1:8" ht="30" customHeight="1" x14ac:dyDescent="0.2">
      <c r="A12" s="14" t="s">
        <v>438</v>
      </c>
      <c r="B12" s="14" t="s">
        <v>439</v>
      </c>
      <c r="C12" s="15" t="s">
        <v>440</v>
      </c>
      <c r="D12" s="16" t="s">
        <v>441</v>
      </c>
      <c r="E12" s="22">
        <v>1</v>
      </c>
      <c r="F12" s="18" t="s">
        <v>12</v>
      </c>
      <c r="G12" s="16" t="s">
        <v>442</v>
      </c>
      <c r="H12" s="16" t="s">
        <v>443</v>
      </c>
    </row>
    <row r="13" spans="1:8" ht="30" customHeight="1" x14ac:dyDescent="0.2">
      <c r="A13" s="19" t="s">
        <v>438</v>
      </c>
      <c r="B13" s="19" t="s">
        <v>439</v>
      </c>
      <c r="C13" s="20" t="s">
        <v>444</v>
      </c>
      <c r="D13" s="21" t="s">
        <v>445</v>
      </c>
      <c r="E13" s="22">
        <v>1</v>
      </c>
      <c r="F13" s="18" t="s">
        <v>12</v>
      </c>
      <c r="G13" s="21" t="s">
        <v>446</v>
      </c>
      <c r="H13" s="21" t="s">
        <v>447</v>
      </c>
    </row>
    <row r="14" spans="1:8" ht="30" customHeight="1" x14ac:dyDescent="0.2">
      <c r="A14" s="14" t="s">
        <v>438</v>
      </c>
      <c r="B14" s="14" t="s">
        <v>439</v>
      </c>
      <c r="C14" s="15" t="s">
        <v>448</v>
      </c>
      <c r="D14" s="16" t="s">
        <v>449</v>
      </c>
      <c r="E14" s="23">
        <v>3</v>
      </c>
      <c r="F14" s="18" t="s">
        <v>23</v>
      </c>
      <c r="G14" s="16" t="s">
        <v>450</v>
      </c>
      <c r="H14" s="16" t="s">
        <v>33</v>
      </c>
    </row>
    <row r="15" spans="1:8" ht="18" customHeight="1" x14ac:dyDescent="0.2">
      <c r="A15" s="13" t="s">
        <v>451</v>
      </c>
      <c r="B15" s="13" t="s">
        <v>452</v>
      </c>
      <c r="C15" s="13"/>
      <c r="D15" s="13"/>
      <c r="E15" s="13"/>
      <c r="F15" s="13"/>
      <c r="G15" s="13"/>
      <c r="H15" s="13"/>
    </row>
    <row r="16" spans="1:8" ht="30" customHeight="1" x14ac:dyDescent="0.2">
      <c r="A16" s="14" t="s">
        <v>451</v>
      </c>
      <c r="B16" s="14" t="s">
        <v>452</v>
      </c>
      <c r="C16" s="15" t="s">
        <v>453</v>
      </c>
      <c r="D16" s="16" t="s">
        <v>454</v>
      </c>
      <c r="E16" s="17">
        <v>2</v>
      </c>
      <c r="F16" s="18" t="s">
        <v>100</v>
      </c>
      <c r="G16" s="16" t="s">
        <v>455</v>
      </c>
      <c r="H16" s="16" t="s">
        <v>456</v>
      </c>
    </row>
    <row r="17" spans="1:8" ht="30" customHeight="1" x14ac:dyDescent="0.2">
      <c r="A17" s="19" t="s">
        <v>451</v>
      </c>
      <c r="B17" s="19" t="s">
        <v>452</v>
      </c>
      <c r="C17" s="20" t="s">
        <v>457</v>
      </c>
      <c r="D17" s="21" t="s">
        <v>458</v>
      </c>
      <c r="E17" s="17">
        <v>2</v>
      </c>
      <c r="F17" s="18" t="s">
        <v>100</v>
      </c>
      <c r="G17" s="21" t="s">
        <v>459</v>
      </c>
      <c r="H17" s="21" t="s">
        <v>460</v>
      </c>
    </row>
    <row r="18" spans="1:8" ht="30" customHeight="1" x14ac:dyDescent="0.2">
      <c r="A18" s="14" t="s">
        <v>451</v>
      </c>
      <c r="B18" s="14" t="s">
        <v>452</v>
      </c>
      <c r="C18" s="15" t="s">
        <v>461</v>
      </c>
      <c r="D18" s="16" t="s">
        <v>462</v>
      </c>
      <c r="E18" s="17">
        <v>2</v>
      </c>
      <c r="F18" s="18" t="s">
        <v>23</v>
      </c>
      <c r="G18" s="16" t="s">
        <v>463</v>
      </c>
      <c r="H18" s="16" t="s">
        <v>464</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465</v>
      </c>
      <c r="B2" s="13" t="s">
        <v>466</v>
      </c>
      <c r="C2" s="13"/>
      <c r="D2" s="13"/>
      <c r="E2" s="13"/>
      <c r="F2" s="13"/>
      <c r="G2" s="13"/>
      <c r="H2" s="13"/>
    </row>
    <row r="3" spans="1:8" ht="30" customHeight="1" x14ac:dyDescent="0.2">
      <c r="A3" s="14" t="s">
        <v>465</v>
      </c>
      <c r="B3" s="14" t="s">
        <v>466</v>
      </c>
      <c r="C3" s="15" t="s">
        <v>467</v>
      </c>
      <c r="D3" s="16" t="s">
        <v>468</v>
      </c>
      <c r="E3" s="22">
        <v>1</v>
      </c>
      <c r="F3" s="18" t="s">
        <v>12</v>
      </c>
      <c r="G3" s="16" t="s">
        <v>469</v>
      </c>
      <c r="H3" s="16" t="s">
        <v>470</v>
      </c>
    </row>
    <row r="4" spans="1:8" ht="30" customHeight="1" x14ac:dyDescent="0.2">
      <c r="A4" s="19" t="s">
        <v>465</v>
      </c>
      <c r="B4" s="19" t="s">
        <v>466</v>
      </c>
      <c r="C4" s="20" t="s">
        <v>471</v>
      </c>
      <c r="D4" s="21" t="s">
        <v>472</v>
      </c>
      <c r="E4" s="17">
        <v>2</v>
      </c>
      <c r="F4" s="18" t="s">
        <v>23</v>
      </c>
      <c r="G4" s="21" t="s">
        <v>473</v>
      </c>
      <c r="H4" s="21" t="s">
        <v>33</v>
      </c>
    </row>
    <row r="5" spans="1:8" ht="30" customHeight="1" x14ac:dyDescent="0.2">
      <c r="A5" s="14" t="s">
        <v>465</v>
      </c>
      <c r="B5" s="14" t="s">
        <v>466</v>
      </c>
      <c r="C5" s="15" t="s">
        <v>474</v>
      </c>
      <c r="D5" s="16" t="s">
        <v>475</v>
      </c>
      <c r="E5" s="17">
        <v>2</v>
      </c>
      <c r="F5" s="18" t="s">
        <v>12</v>
      </c>
      <c r="G5" s="16" t="s">
        <v>476</v>
      </c>
      <c r="H5" s="16" t="s">
        <v>477</v>
      </c>
    </row>
    <row r="6" spans="1:8" ht="18" customHeight="1" x14ac:dyDescent="0.2">
      <c r="A6" s="13" t="s">
        <v>478</v>
      </c>
      <c r="B6" s="13" t="s">
        <v>479</v>
      </c>
      <c r="C6" s="13"/>
      <c r="D6" s="13"/>
      <c r="E6" s="13"/>
      <c r="F6" s="13"/>
      <c r="G6" s="13"/>
      <c r="H6" s="13"/>
    </row>
    <row r="7" spans="1:8" ht="30" customHeight="1" x14ac:dyDescent="0.2">
      <c r="A7" s="14" t="s">
        <v>478</v>
      </c>
      <c r="B7" s="14" t="s">
        <v>479</v>
      </c>
      <c r="C7" s="15" t="s">
        <v>480</v>
      </c>
      <c r="D7" s="16" t="s">
        <v>481</v>
      </c>
      <c r="E7" s="22">
        <v>1</v>
      </c>
      <c r="F7" s="18" t="s">
        <v>23</v>
      </c>
      <c r="G7" s="16" t="s">
        <v>482</v>
      </c>
      <c r="H7" s="16" t="s">
        <v>33</v>
      </c>
    </row>
    <row r="8" spans="1:8" ht="30" customHeight="1" x14ac:dyDescent="0.2">
      <c r="A8" s="19" t="s">
        <v>478</v>
      </c>
      <c r="B8" s="19" t="s">
        <v>479</v>
      </c>
      <c r="C8" s="20" t="s">
        <v>483</v>
      </c>
      <c r="D8" s="21" t="s">
        <v>484</v>
      </c>
      <c r="E8" s="22">
        <v>1</v>
      </c>
      <c r="F8" s="18" t="s">
        <v>23</v>
      </c>
      <c r="G8" s="21" t="s">
        <v>485</v>
      </c>
      <c r="H8" s="21" t="s">
        <v>33</v>
      </c>
    </row>
    <row r="9" spans="1:8" ht="30" customHeight="1" x14ac:dyDescent="0.2">
      <c r="A9" s="14" t="s">
        <v>478</v>
      </c>
      <c r="B9" s="14" t="s">
        <v>479</v>
      </c>
      <c r="C9" s="15" t="s">
        <v>486</v>
      </c>
      <c r="D9" s="16" t="s">
        <v>487</v>
      </c>
      <c r="E9" s="22">
        <v>1</v>
      </c>
      <c r="F9" s="18" t="s">
        <v>23</v>
      </c>
      <c r="G9" s="16" t="s">
        <v>485</v>
      </c>
      <c r="H9" s="16" t="s">
        <v>33</v>
      </c>
    </row>
    <row r="10" spans="1:8" ht="30" customHeight="1" x14ac:dyDescent="0.2">
      <c r="A10" s="19" t="s">
        <v>478</v>
      </c>
      <c r="B10" s="19" t="s">
        <v>479</v>
      </c>
      <c r="C10" s="20" t="s">
        <v>488</v>
      </c>
      <c r="D10" s="21" t="s">
        <v>489</v>
      </c>
      <c r="E10" s="22">
        <v>1</v>
      </c>
      <c r="F10" s="18" t="s">
        <v>23</v>
      </c>
      <c r="G10" s="21" t="s">
        <v>490</v>
      </c>
      <c r="H10" s="21" t="s">
        <v>33</v>
      </c>
    </row>
    <row r="11" spans="1:8" ht="30" customHeight="1" x14ac:dyDescent="0.2">
      <c r="A11" s="14" t="s">
        <v>478</v>
      </c>
      <c r="B11" s="14" t="s">
        <v>479</v>
      </c>
      <c r="C11" s="15" t="s">
        <v>491</v>
      </c>
      <c r="D11" s="16" t="s">
        <v>492</v>
      </c>
      <c r="E11" s="22">
        <v>1</v>
      </c>
      <c r="F11" s="18" t="s">
        <v>23</v>
      </c>
      <c r="G11" s="16" t="s">
        <v>493</v>
      </c>
      <c r="H11" s="16" t="s">
        <v>33</v>
      </c>
    </row>
    <row r="12" spans="1:8" ht="30" customHeight="1" x14ac:dyDescent="0.2">
      <c r="A12" s="19" t="s">
        <v>478</v>
      </c>
      <c r="B12" s="19" t="s">
        <v>479</v>
      </c>
      <c r="C12" s="20" t="s">
        <v>494</v>
      </c>
      <c r="D12" s="21" t="s">
        <v>495</v>
      </c>
      <c r="E12" s="22">
        <v>1</v>
      </c>
      <c r="F12" s="18" t="s">
        <v>23</v>
      </c>
      <c r="G12" s="21" t="s">
        <v>496</v>
      </c>
      <c r="H12" s="21" t="s">
        <v>33</v>
      </c>
    </row>
    <row r="13" spans="1:8" ht="30" customHeight="1" x14ac:dyDescent="0.2">
      <c r="A13" s="14" t="s">
        <v>478</v>
      </c>
      <c r="B13" s="14" t="s">
        <v>479</v>
      </c>
      <c r="C13" s="15" t="s">
        <v>497</v>
      </c>
      <c r="D13" s="16" t="s">
        <v>498</v>
      </c>
      <c r="E13" s="22">
        <v>1</v>
      </c>
      <c r="F13" s="18" t="s">
        <v>23</v>
      </c>
      <c r="G13" s="16" t="s">
        <v>496</v>
      </c>
      <c r="H13" s="16" t="s">
        <v>33</v>
      </c>
    </row>
    <row r="14" spans="1:8" ht="30" customHeight="1" x14ac:dyDescent="0.2">
      <c r="A14" s="19" t="s">
        <v>478</v>
      </c>
      <c r="B14" s="19" t="s">
        <v>479</v>
      </c>
      <c r="C14" s="20" t="s">
        <v>499</v>
      </c>
      <c r="D14" s="21" t="s">
        <v>500</v>
      </c>
      <c r="E14" s="22">
        <v>1</v>
      </c>
      <c r="F14" s="18" t="s">
        <v>12</v>
      </c>
      <c r="G14" s="21" t="s">
        <v>501</v>
      </c>
      <c r="H14" s="21" t="s">
        <v>502</v>
      </c>
    </row>
    <row r="15" spans="1:8" ht="30" customHeight="1" x14ac:dyDescent="0.2">
      <c r="A15" s="14" t="s">
        <v>478</v>
      </c>
      <c r="B15" s="14" t="s">
        <v>479</v>
      </c>
      <c r="C15" s="15" t="s">
        <v>503</v>
      </c>
      <c r="D15" s="16" t="s">
        <v>504</v>
      </c>
      <c r="E15" s="17">
        <v>2</v>
      </c>
      <c r="F15" s="18" t="s">
        <v>23</v>
      </c>
      <c r="G15" s="16" t="s">
        <v>505</v>
      </c>
      <c r="H15" s="16" t="s">
        <v>33</v>
      </c>
    </row>
    <row r="16" spans="1:8" ht="30" customHeight="1" x14ac:dyDescent="0.2">
      <c r="A16" s="19" t="s">
        <v>478</v>
      </c>
      <c r="B16" s="19" t="s">
        <v>479</v>
      </c>
      <c r="C16" s="20" t="s">
        <v>506</v>
      </c>
      <c r="D16" s="21" t="s">
        <v>507</v>
      </c>
      <c r="E16" s="17">
        <v>2</v>
      </c>
      <c r="F16" s="18" t="s">
        <v>23</v>
      </c>
      <c r="G16" s="21" t="s">
        <v>493</v>
      </c>
      <c r="H16" s="21" t="s">
        <v>33</v>
      </c>
    </row>
    <row r="17" spans="1:8" ht="30" customHeight="1" x14ac:dyDescent="0.2">
      <c r="A17" s="14" t="s">
        <v>478</v>
      </c>
      <c r="B17" s="14" t="s">
        <v>479</v>
      </c>
      <c r="C17" s="15" t="s">
        <v>508</v>
      </c>
      <c r="D17" s="16" t="s">
        <v>509</v>
      </c>
      <c r="E17" s="17">
        <v>2</v>
      </c>
      <c r="F17" s="18" t="s">
        <v>23</v>
      </c>
      <c r="G17" s="16" t="s">
        <v>493</v>
      </c>
      <c r="H17" s="16" t="s">
        <v>33</v>
      </c>
    </row>
    <row r="18" spans="1:8" ht="30" customHeight="1" x14ac:dyDescent="0.2">
      <c r="A18" s="19" t="s">
        <v>478</v>
      </c>
      <c r="B18" s="19" t="s">
        <v>479</v>
      </c>
      <c r="C18" s="20" t="s">
        <v>510</v>
      </c>
      <c r="D18" s="21" t="s">
        <v>511</v>
      </c>
      <c r="E18" s="17">
        <v>2</v>
      </c>
      <c r="F18" s="18" t="s">
        <v>23</v>
      </c>
      <c r="G18" s="21" t="s">
        <v>490</v>
      </c>
      <c r="H18" s="21" t="s">
        <v>33</v>
      </c>
    </row>
    <row r="19" spans="1:8" ht="18" customHeight="1" x14ac:dyDescent="0.2">
      <c r="A19" s="13" t="s">
        <v>512</v>
      </c>
      <c r="B19" s="13" t="s">
        <v>513</v>
      </c>
      <c r="C19" s="13"/>
      <c r="D19" s="13"/>
      <c r="E19" s="13"/>
      <c r="F19" s="13"/>
      <c r="G19" s="13"/>
      <c r="H19" s="13"/>
    </row>
    <row r="20" spans="1:8" ht="30" customHeight="1" x14ac:dyDescent="0.2">
      <c r="A20" s="14" t="s">
        <v>512</v>
      </c>
      <c r="B20" s="14" t="s">
        <v>513</v>
      </c>
      <c r="C20" s="15" t="s">
        <v>514</v>
      </c>
      <c r="D20" s="16" t="s">
        <v>515</v>
      </c>
      <c r="E20" s="22">
        <v>1</v>
      </c>
      <c r="F20" s="18" t="s">
        <v>12</v>
      </c>
      <c r="G20" s="16" t="s">
        <v>516</v>
      </c>
      <c r="H20" s="16" t="s">
        <v>517</v>
      </c>
    </row>
    <row r="21" spans="1:8" ht="30" customHeight="1" x14ac:dyDescent="0.2">
      <c r="A21" s="19" t="s">
        <v>512</v>
      </c>
      <c r="B21" s="19" t="s">
        <v>513</v>
      </c>
      <c r="C21" s="20" t="s">
        <v>518</v>
      </c>
      <c r="D21" s="21" t="s">
        <v>519</v>
      </c>
      <c r="E21" s="22">
        <v>1</v>
      </c>
      <c r="F21" s="18" t="s">
        <v>12</v>
      </c>
      <c r="G21" s="21" t="s">
        <v>520</v>
      </c>
      <c r="H21" s="21" t="s">
        <v>521</v>
      </c>
    </row>
    <row r="22" spans="1:8" ht="30" customHeight="1" x14ac:dyDescent="0.2">
      <c r="A22" s="14" t="s">
        <v>512</v>
      </c>
      <c r="B22" s="14" t="s">
        <v>513</v>
      </c>
      <c r="C22" s="15" t="s">
        <v>522</v>
      </c>
      <c r="D22" s="16" t="s">
        <v>523</v>
      </c>
      <c r="E22" s="17">
        <v>2</v>
      </c>
      <c r="F22" s="18" t="s">
        <v>12</v>
      </c>
      <c r="G22" s="16" t="s">
        <v>524</v>
      </c>
      <c r="H22" s="16" t="s">
        <v>525</v>
      </c>
    </row>
    <row r="23" spans="1:8" ht="30" customHeight="1" x14ac:dyDescent="0.2">
      <c r="A23" s="19" t="s">
        <v>512</v>
      </c>
      <c r="B23" s="19" t="s">
        <v>513</v>
      </c>
      <c r="C23" s="20" t="s">
        <v>526</v>
      </c>
      <c r="D23" s="21" t="s">
        <v>527</v>
      </c>
      <c r="E23" s="17">
        <v>2</v>
      </c>
      <c r="F23" s="18" t="s">
        <v>12</v>
      </c>
      <c r="G23" s="21" t="s">
        <v>528</v>
      </c>
      <c r="H23" s="21" t="s">
        <v>529</v>
      </c>
    </row>
    <row r="24" spans="1:8" ht="30" customHeight="1" x14ac:dyDescent="0.2">
      <c r="A24" s="14" t="s">
        <v>512</v>
      </c>
      <c r="B24" s="14" t="s">
        <v>513</v>
      </c>
      <c r="C24" s="15" t="s">
        <v>530</v>
      </c>
      <c r="D24" s="16" t="s">
        <v>531</v>
      </c>
      <c r="E24" s="23">
        <v>3</v>
      </c>
      <c r="F24" s="18" t="s">
        <v>100</v>
      </c>
      <c r="G24" s="16" t="s">
        <v>532</v>
      </c>
      <c r="H24" s="16" t="s">
        <v>533</v>
      </c>
    </row>
    <row r="25" spans="1:8" ht="30" customHeight="1" x14ac:dyDescent="0.2">
      <c r="A25" s="19" t="s">
        <v>512</v>
      </c>
      <c r="B25" s="19" t="s">
        <v>513</v>
      </c>
      <c r="C25" s="20" t="s">
        <v>534</v>
      </c>
      <c r="D25" s="21" t="s">
        <v>535</v>
      </c>
      <c r="E25" s="23">
        <v>3</v>
      </c>
      <c r="F25" s="18" t="s">
        <v>12</v>
      </c>
      <c r="G25" s="21" t="s">
        <v>536</v>
      </c>
      <c r="H25" s="21" t="s">
        <v>537</v>
      </c>
    </row>
    <row r="26" spans="1:8" ht="30" customHeight="1" x14ac:dyDescent="0.2">
      <c r="A26" s="14" t="s">
        <v>512</v>
      </c>
      <c r="B26" s="14" t="s">
        <v>513</v>
      </c>
      <c r="C26" s="15" t="s">
        <v>538</v>
      </c>
      <c r="D26" s="16" t="s">
        <v>539</v>
      </c>
      <c r="E26" s="23">
        <v>3</v>
      </c>
      <c r="F26" s="18" t="s">
        <v>100</v>
      </c>
      <c r="G26" s="16" t="s">
        <v>540</v>
      </c>
      <c r="H26" s="16" t="s">
        <v>541</v>
      </c>
    </row>
    <row r="27" spans="1:8" ht="30" customHeight="1" x14ac:dyDescent="0.2">
      <c r="A27" s="19" t="s">
        <v>512</v>
      </c>
      <c r="B27" s="19" t="s">
        <v>513</v>
      </c>
      <c r="C27" s="20" t="s">
        <v>542</v>
      </c>
      <c r="D27" s="21" t="s">
        <v>543</v>
      </c>
      <c r="E27" s="23">
        <v>3</v>
      </c>
      <c r="F27" s="18" t="s">
        <v>12</v>
      </c>
      <c r="G27" s="21" t="s">
        <v>544</v>
      </c>
      <c r="H27" s="21" t="s">
        <v>545</v>
      </c>
    </row>
    <row r="28" spans="1:8" ht="18" customHeight="1" x14ac:dyDescent="0.2">
      <c r="A28" s="13" t="s">
        <v>546</v>
      </c>
      <c r="B28" s="13" t="s">
        <v>547</v>
      </c>
      <c r="C28" s="13"/>
      <c r="D28" s="13"/>
      <c r="E28" s="13"/>
      <c r="F28" s="13"/>
      <c r="G28" s="13"/>
      <c r="H28" s="13"/>
    </row>
    <row r="29" spans="1:8" ht="30" customHeight="1" x14ac:dyDescent="0.2">
      <c r="A29" s="14" t="s">
        <v>546</v>
      </c>
      <c r="B29" s="14" t="s">
        <v>547</v>
      </c>
      <c r="C29" s="15" t="s">
        <v>548</v>
      </c>
      <c r="D29" s="16" t="s">
        <v>549</v>
      </c>
      <c r="E29" s="22">
        <v>1</v>
      </c>
      <c r="F29" s="18" t="s">
        <v>23</v>
      </c>
      <c r="G29" s="16" t="s">
        <v>550</v>
      </c>
      <c r="H29" s="16" t="s">
        <v>33</v>
      </c>
    </row>
    <row r="30" spans="1:8" ht="30" customHeight="1" x14ac:dyDescent="0.2">
      <c r="A30" s="19" t="s">
        <v>546</v>
      </c>
      <c r="B30" s="19" t="s">
        <v>547</v>
      </c>
      <c r="C30" s="20" t="s">
        <v>551</v>
      </c>
      <c r="D30" s="21" t="s">
        <v>552</v>
      </c>
      <c r="E30" s="22">
        <v>1</v>
      </c>
      <c r="F30" s="18" t="s">
        <v>12</v>
      </c>
      <c r="G30" s="21" t="s">
        <v>553</v>
      </c>
      <c r="H30" s="21" t="s">
        <v>84</v>
      </c>
    </row>
    <row r="31" spans="1:8" ht="30" customHeight="1" x14ac:dyDescent="0.2">
      <c r="A31" s="14" t="s">
        <v>546</v>
      </c>
      <c r="B31" s="14" t="s">
        <v>547</v>
      </c>
      <c r="C31" s="15" t="s">
        <v>554</v>
      </c>
      <c r="D31" s="16" t="s">
        <v>555</v>
      </c>
      <c r="E31" s="17">
        <v>2</v>
      </c>
      <c r="F31" s="18" t="s">
        <v>23</v>
      </c>
      <c r="G31" s="16" t="s">
        <v>556</v>
      </c>
      <c r="H31" s="16" t="s">
        <v>33</v>
      </c>
    </row>
    <row r="32" spans="1:8" ht="30" customHeight="1" x14ac:dyDescent="0.2">
      <c r="A32" s="19" t="s">
        <v>546</v>
      </c>
      <c r="B32" s="19" t="s">
        <v>547</v>
      </c>
      <c r="C32" s="20" t="s">
        <v>557</v>
      </c>
      <c r="D32" s="21" t="s">
        <v>558</v>
      </c>
      <c r="E32" s="17">
        <v>2</v>
      </c>
      <c r="F32" s="18" t="s">
        <v>23</v>
      </c>
      <c r="G32" s="21" t="s">
        <v>559</v>
      </c>
      <c r="H32" s="21" t="s">
        <v>33</v>
      </c>
    </row>
    <row r="33" spans="1:8" ht="30" customHeight="1" x14ac:dyDescent="0.2">
      <c r="A33" s="14" t="s">
        <v>546</v>
      </c>
      <c r="B33" s="14" t="s">
        <v>547</v>
      </c>
      <c r="C33" s="15" t="s">
        <v>560</v>
      </c>
      <c r="D33" s="16" t="s">
        <v>561</v>
      </c>
      <c r="E33" s="23">
        <v>3</v>
      </c>
      <c r="F33" s="18" t="s">
        <v>100</v>
      </c>
      <c r="G33" s="16" t="s">
        <v>562</v>
      </c>
      <c r="H33" s="16" t="s">
        <v>563</v>
      </c>
    </row>
    <row r="34" spans="1:8" ht="30" customHeight="1" x14ac:dyDescent="0.2">
      <c r="A34" s="19" t="s">
        <v>546</v>
      </c>
      <c r="B34" s="19" t="s">
        <v>547</v>
      </c>
      <c r="C34" s="20" t="s">
        <v>564</v>
      </c>
      <c r="D34" s="21" t="s">
        <v>565</v>
      </c>
      <c r="E34" s="23">
        <v>3</v>
      </c>
      <c r="F34" s="18" t="s">
        <v>23</v>
      </c>
      <c r="G34" s="21" t="s">
        <v>485</v>
      </c>
      <c r="H34" s="21" t="s">
        <v>33</v>
      </c>
    </row>
    <row r="35" spans="1:8" ht="18" customHeight="1" x14ac:dyDescent="0.2">
      <c r="A35" s="13" t="s">
        <v>566</v>
      </c>
      <c r="B35" s="13" t="s">
        <v>567</v>
      </c>
      <c r="C35" s="13"/>
      <c r="D35" s="13"/>
      <c r="E35" s="13"/>
      <c r="F35" s="13"/>
      <c r="G35" s="13"/>
      <c r="H35" s="13"/>
    </row>
    <row r="36" spans="1:8" ht="30" customHeight="1" x14ac:dyDescent="0.2">
      <c r="A36" s="14" t="s">
        <v>566</v>
      </c>
      <c r="B36" s="14" t="s">
        <v>567</v>
      </c>
      <c r="C36" s="15" t="s">
        <v>568</v>
      </c>
      <c r="D36" s="16" t="s">
        <v>569</v>
      </c>
      <c r="E36" s="17">
        <v>2</v>
      </c>
      <c r="F36" s="18" t="s">
        <v>12</v>
      </c>
      <c r="G36" s="16" t="s">
        <v>570</v>
      </c>
      <c r="H36" s="16" t="s">
        <v>571</v>
      </c>
    </row>
    <row r="37" spans="1:8" ht="30" customHeight="1" x14ac:dyDescent="0.2">
      <c r="A37" s="19" t="s">
        <v>566</v>
      </c>
      <c r="B37" s="19" t="s">
        <v>567</v>
      </c>
      <c r="C37" s="20" t="s">
        <v>572</v>
      </c>
      <c r="D37" s="21" t="s">
        <v>573</v>
      </c>
      <c r="E37" s="17">
        <v>2</v>
      </c>
      <c r="F37" s="18" t="s">
        <v>12</v>
      </c>
      <c r="G37" s="21" t="s">
        <v>574</v>
      </c>
      <c r="H37" s="21" t="s">
        <v>575</v>
      </c>
    </row>
    <row r="38" spans="1:8" ht="30" customHeight="1" x14ac:dyDescent="0.2">
      <c r="A38" s="14" t="s">
        <v>566</v>
      </c>
      <c r="B38" s="14" t="s">
        <v>567</v>
      </c>
      <c r="C38" s="15" t="s">
        <v>576</v>
      </c>
      <c r="D38" s="16" t="s">
        <v>577</v>
      </c>
      <c r="E38" s="17">
        <v>2</v>
      </c>
      <c r="F38" s="18" t="s">
        <v>12</v>
      </c>
      <c r="G38" s="16" t="s">
        <v>578</v>
      </c>
      <c r="H38" s="16" t="s">
        <v>579</v>
      </c>
    </row>
    <row r="39" spans="1:8" ht="30" customHeight="1" x14ac:dyDescent="0.2">
      <c r="A39" s="19" t="s">
        <v>566</v>
      </c>
      <c r="B39" s="19" t="s">
        <v>567</v>
      </c>
      <c r="C39" s="20" t="s">
        <v>580</v>
      </c>
      <c r="D39" s="21" t="s">
        <v>581</v>
      </c>
      <c r="E39" s="17">
        <v>2</v>
      </c>
      <c r="F39" s="18" t="s">
        <v>12</v>
      </c>
      <c r="G39" s="21" t="s">
        <v>582</v>
      </c>
      <c r="H39" s="21" t="s">
        <v>583</v>
      </c>
    </row>
    <row r="40" spans="1:8" ht="30" customHeight="1" x14ac:dyDescent="0.2">
      <c r="A40" s="14" t="s">
        <v>566</v>
      </c>
      <c r="B40" s="14" t="s">
        <v>567</v>
      </c>
      <c r="C40" s="15" t="s">
        <v>584</v>
      </c>
      <c r="D40" s="16" t="s">
        <v>585</v>
      </c>
      <c r="E40" s="17">
        <v>2</v>
      </c>
      <c r="F40" s="18" t="s">
        <v>12</v>
      </c>
      <c r="G40" s="16" t="s">
        <v>586</v>
      </c>
      <c r="H40" s="16" t="s">
        <v>587</v>
      </c>
    </row>
    <row r="41" spans="1:8" ht="30" customHeight="1" x14ac:dyDescent="0.2">
      <c r="A41" s="19" t="s">
        <v>566</v>
      </c>
      <c r="B41" s="19" t="s">
        <v>567</v>
      </c>
      <c r="C41" s="20" t="s">
        <v>588</v>
      </c>
      <c r="D41" s="21" t="s">
        <v>589</v>
      </c>
      <c r="E41" s="23">
        <v>3</v>
      </c>
      <c r="F41" s="18" t="s">
        <v>100</v>
      </c>
      <c r="G41" s="21" t="s">
        <v>590</v>
      </c>
      <c r="H41" s="21" t="s">
        <v>591</v>
      </c>
    </row>
    <row r="42" spans="1:8" ht="30" customHeight="1" x14ac:dyDescent="0.2">
      <c r="A42" s="14" t="s">
        <v>566</v>
      </c>
      <c r="B42" s="14" t="s">
        <v>567</v>
      </c>
      <c r="C42" s="15" t="s">
        <v>592</v>
      </c>
      <c r="D42" s="16" t="s">
        <v>593</v>
      </c>
      <c r="E42" s="23">
        <v>3</v>
      </c>
      <c r="F42" s="18" t="s">
        <v>23</v>
      </c>
      <c r="G42" s="16" t="s">
        <v>594</v>
      </c>
      <c r="H42" s="16" t="s">
        <v>33</v>
      </c>
    </row>
    <row r="43" spans="1:8" ht="30" customHeight="1" x14ac:dyDescent="0.2">
      <c r="A43" s="19" t="s">
        <v>566</v>
      </c>
      <c r="B43" s="19" t="s">
        <v>567</v>
      </c>
      <c r="C43" s="20" t="s">
        <v>595</v>
      </c>
      <c r="D43" s="21" t="s">
        <v>596</v>
      </c>
      <c r="E43" s="23">
        <v>3</v>
      </c>
      <c r="F43" s="18" t="s">
        <v>12</v>
      </c>
      <c r="G43" s="21" t="s">
        <v>597</v>
      </c>
      <c r="H43" s="21" t="s">
        <v>598</v>
      </c>
    </row>
    <row r="44" spans="1:8" ht="18" customHeight="1" x14ac:dyDescent="0.2">
      <c r="A44" s="13" t="s">
        <v>599</v>
      </c>
      <c r="B44" s="13" t="s">
        <v>600</v>
      </c>
      <c r="C44" s="13"/>
      <c r="D44" s="13"/>
      <c r="E44" s="13"/>
      <c r="F44" s="13"/>
      <c r="G44" s="13"/>
      <c r="H44" s="13"/>
    </row>
    <row r="45" spans="1:8" ht="30" customHeight="1" x14ac:dyDescent="0.2">
      <c r="A45" s="14" t="s">
        <v>599</v>
      </c>
      <c r="B45" s="14" t="s">
        <v>600</v>
      </c>
      <c r="C45" s="15" t="s">
        <v>601</v>
      </c>
      <c r="D45" s="16" t="s">
        <v>602</v>
      </c>
      <c r="E45" s="17">
        <v>2</v>
      </c>
      <c r="F45" s="18" t="s">
        <v>23</v>
      </c>
      <c r="G45" s="16" t="s">
        <v>603</v>
      </c>
      <c r="H45" s="16" t="s">
        <v>33</v>
      </c>
    </row>
    <row r="46" spans="1:8" ht="30" customHeight="1" x14ac:dyDescent="0.2">
      <c r="A46" s="19" t="s">
        <v>599</v>
      </c>
      <c r="B46" s="19" t="s">
        <v>600</v>
      </c>
      <c r="C46" s="20" t="s">
        <v>604</v>
      </c>
      <c r="D46" s="21" t="s">
        <v>605</v>
      </c>
      <c r="E46" s="17">
        <v>2</v>
      </c>
      <c r="F46" s="18" t="s">
        <v>12</v>
      </c>
      <c r="G46" s="21" t="s">
        <v>606</v>
      </c>
      <c r="H46" s="21" t="s">
        <v>607</v>
      </c>
    </row>
    <row r="47" spans="1:8" ht="30" customHeight="1" x14ac:dyDescent="0.2">
      <c r="A47" s="14" t="s">
        <v>599</v>
      </c>
      <c r="B47" s="14" t="s">
        <v>600</v>
      </c>
      <c r="C47" s="15" t="s">
        <v>608</v>
      </c>
      <c r="D47" s="16" t="s">
        <v>609</v>
      </c>
      <c r="E47" s="17">
        <v>2</v>
      </c>
      <c r="F47" s="18" t="s">
        <v>100</v>
      </c>
      <c r="G47" s="16" t="s">
        <v>610</v>
      </c>
      <c r="H47" s="16" t="s">
        <v>611</v>
      </c>
    </row>
    <row r="48" spans="1:8" ht="30" customHeight="1" x14ac:dyDescent="0.2">
      <c r="A48" s="19" t="s">
        <v>599</v>
      </c>
      <c r="B48" s="19" t="s">
        <v>600</v>
      </c>
      <c r="C48" s="20" t="s">
        <v>612</v>
      </c>
      <c r="D48" s="21" t="s">
        <v>613</v>
      </c>
      <c r="E48" s="23">
        <v>3</v>
      </c>
      <c r="F48" s="18" t="s">
        <v>23</v>
      </c>
      <c r="G48" s="21" t="s">
        <v>614</v>
      </c>
      <c r="H48" s="21" t="s">
        <v>33</v>
      </c>
    </row>
    <row r="49" spans="1:8" ht="18" customHeight="1" x14ac:dyDescent="0.2">
      <c r="A49" s="13" t="s">
        <v>615</v>
      </c>
      <c r="B49" s="13" t="s">
        <v>616</v>
      </c>
      <c r="C49" s="13"/>
      <c r="D49" s="13"/>
      <c r="E49" s="13"/>
      <c r="F49" s="13"/>
      <c r="G49" s="13"/>
      <c r="H49" s="13"/>
    </row>
    <row r="50" spans="1:8" ht="30" customHeight="1" x14ac:dyDescent="0.2">
      <c r="A50" s="14" t="s">
        <v>615</v>
      </c>
      <c r="B50" s="14" t="s">
        <v>616</v>
      </c>
      <c r="C50" s="15" t="s">
        <v>617</v>
      </c>
      <c r="D50" s="16" t="s">
        <v>618</v>
      </c>
      <c r="E50" s="23">
        <v>3</v>
      </c>
      <c r="F50" s="18" t="s">
        <v>100</v>
      </c>
      <c r="G50" s="16" t="s">
        <v>619</v>
      </c>
      <c r="H50" s="16" t="s">
        <v>620</v>
      </c>
    </row>
    <row r="51" spans="1:8" ht="30" customHeight="1" x14ac:dyDescent="0.2">
      <c r="A51" s="19" t="s">
        <v>615</v>
      </c>
      <c r="B51" s="19" t="s">
        <v>616</v>
      </c>
      <c r="C51" s="20" t="s">
        <v>621</v>
      </c>
      <c r="D51" s="21" t="s">
        <v>622</v>
      </c>
      <c r="E51" s="23">
        <v>3</v>
      </c>
      <c r="F51" s="18" t="s">
        <v>23</v>
      </c>
      <c r="G51" s="21" t="s">
        <v>623</v>
      </c>
      <c r="H51" s="21" t="s">
        <v>33</v>
      </c>
    </row>
    <row r="52" spans="1:8" ht="18" customHeight="1" x14ac:dyDescent="0.2">
      <c r="A52" s="13" t="s">
        <v>624</v>
      </c>
      <c r="B52" s="13" t="s">
        <v>625</v>
      </c>
      <c r="C52" s="13"/>
      <c r="D52" s="13"/>
      <c r="E52" s="13"/>
      <c r="F52" s="13"/>
      <c r="G52" s="13"/>
      <c r="H52" s="13"/>
    </row>
    <row r="53" spans="1:8" ht="30" customHeight="1" x14ac:dyDescent="0.2">
      <c r="A53" s="14" t="s">
        <v>624</v>
      </c>
      <c r="B53" s="14" t="s">
        <v>625</v>
      </c>
      <c r="C53" s="15" t="s">
        <v>626</v>
      </c>
      <c r="D53" s="16" t="s">
        <v>627</v>
      </c>
      <c r="E53" s="17">
        <v>2</v>
      </c>
      <c r="F53" s="18" t="s">
        <v>23</v>
      </c>
      <c r="G53" s="16" t="s">
        <v>628</v>
      </c>
      <c r="H53" s="16" t="s">
        <v>33</v>
      </c>
    </row>
    <row r="54" spans="1:8" ht="30" customHeight="1" x14ac:dyDescent="0.2">
      <c r="A54" s="19" t="s">
        <v>624</v>
      </c>
      <c r="B54" s="19" t="s">
        <v>625</v>
      </c>
      <c r="C54" s="20" t="s">
        <v>629</v>
      </c>
      <c r="D54" s="21" t="s">
        <v>630</v>
      </c>
      <c r="E54" s="17">
        <v>2</v>
      </c>
      <c r="F54" s="18" t="s">
        <v>12</v>
      </c>
      <c r="G54" s="21" t="s">
        <v>631</v>
      </c>
      <c r="H54" s="21" t="s">
        <v>632</v>
      </c>
    </row>
    <row r="55" spans="1:8" ht="30" customHeight="1" x14ac:dyDescent="0.2">
      <c r="A55" s="14" t="s">
        <v>624</v>
      </c>
      <c r="B55" s="14" t="s">
        <v>625</v>
      </c>
      <c r="C55" s="15" t="s">
        <v>633</v>
      </c>
      <c r="D55" s="16" t="s">
        <v>634</v>
      </c>
      <c r="E55" s="17">
        <v>2</v>
      </c>
      <c r="F55" s="18" t="s">
        <v>23</v>
      </c>
      <c r="G55" s="16" t="s">
        <v>635</v>
      </c>
      <c r="H55" s="16" t="s">
        <v>33</v>
      </c>
    </row>
    <row r="56" spans="1:8" ht="30" customHeight="1" x14ac:dyDescent="0.2">
      <c r="A56" s="19" t="s">
        <v>624</v>
      </c>
      <c r="B56" s="19" t="s">
        <v>625</v>
      </c>
      <c r="C56" s="20" t="s">
        <v>636</v>
      </c>
      <c r="D56" s="21" t="s">
        <v>637</v>
      </c>
      <c r="E56" s="17">
        <v>2</v>
      </c>
      <c r="F56" s="18" t="s">
        <v>100</v>
      </c>
      <c r="G56" s="21" t="s">
        <v>638</v>
      </c>
      <c r="H56" s="21" t="s">
        <v>639</v>
      </c>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640</v>
      </c>
      <c r="B2" s="13" t="s">
        <v>641</v>
      </c>
      <c r="C2" s="13"/>
      <c r="D2" s="13"/>
      <c r="E2" s="13"/>
      <c r="F2" s="13"/>
      <c r="G2" s="13"/>
      <c r="H2" s="13"/>
    </row>
    <row r="3" spans="1:8" ht="30" customHeight="1" x14ac:dyDescent="0.2">
      <c r="A3" s="14" t="s">
        <v>640</v>
      </c>
      <c r="B3" s="14" t="s">
        <v>641</v>
      </c>
      <c r="C3" s="15" t="s">
        <v>642</v>
      </c>
      <c r="D3" s="16" t="s">
        <v>643</v>
      </c>
      <c r="E3" s="17">
        <v>2</v>
      </c>
      <c r="F3" s="18" t="s">
        <v>12</v>
      </c>
      <c r="G3" s="16" t="s">
        <v>644</v>
      </c>
      <c r="H3" s="16" t="s">
        <v>645</v>
      </c>
    </row>
    <row r="4" spans="1:8" ht="30" customHeight="1" x14ac:dyDescent="0.2">
      <c r="A4" s="19" t="s">
        <v>640</v>
      </c>
      <c r="B4" s="19" t="s">
        <v>641</v>
      </c>
      <c r="C4" s="20" t="s">
        <v>646</v>
      </c>
      <c r="D4" s="21" t="s">
        <v>647</v>
      </c>
      <c r="E4" s="17">
        <v>2</v>
      </c>
      <c r="F4" s="18" t="s">
        <v>100</v>
      </c>
      <c r="G4" s="21" t="s">
        <v>648</v>
      </c>
      <c r="H4" s="21" t="s">
        <v>649</v>
      </c>
    </row>
    <row r="5" spans="1:8" ht="30" customHeight="1" x14ac:dyDescent="0.2">
      <c r="A5" s="14" t="s">
        <v>640</v>
      </c>
      <c r="B5" s="14" t="s">
        <v>641</v>
      </c>
      <c r="C5" s="15" t="s">
        <v>650</v>
      </c>
      <c r="D5" s="16" t="s">
        <v>651</v>
      </c>
      <c r="E5" s="17">
        <v>2</v>
      </c>
      <c r="F5" s="18" t="s">
        <v>23</v>
      </c>
      <c r="G5" s="16" t="s">
        <v>652</v>
      </c>
      <c r="H5" s="16" t="s">
        <v>33</v>
      </c>
    </row>
    <row r="6" spans="1:8" ht="18" customHeight="1" x14ac:dyDescent="0.2">
      <c r="A6" s="13" t="s">
        <v>653</v>
      </c>
      <c r="B6" s="13" t="s">
        <v>654</v>
      </c>
      <c r="C6" s="13"/>
      <c r="D6" s="13"/>
      <c r="E6" s="13"/>
      <c r="F6" s="13"/>
      <c r="G6" s="13"/>
      <c r="H6" s="13"/>
    </row>
    <row r="7" spans="1:8" ht="30" customHeight="1" x14ac:dyDescent="0.2">
      <c r="A7" s="14" t="s">
        <v>653</v>
      </c>
      <c r="B7" s="14" t="s">
        <v>654</v>
      </c>
      <c r="C7" s="15" t="s">
        <v>655</v>
      </c>
      <c r="D7" s="16" t="s">
        <v>656</v>
      </c>
      <c r="E7" s="22">
        <v>1</v>
      </c>
      <c r="F7" s="18" t="s">
        <v>12</v>
      </c>
      <c r="G7" s="16" t="s">
        <v>657</v>
      </c>
      <c r="H7" s="16" t="s">
        <v>658</v>
      </c>
    </row>
    <row r="8" spans="1:8" ht="30" customHeight="1" x14ac:dyDescent="0.2">
      <c r="A8" s="19" t="s">
        <v>653</v>
      </c>
      <c r="B8" s="19" t="s">
        <v>654</v>
      </c>
      <c r="C8" s="20" t="s">
        <v>659</v>
      </c>
      <c r="D8" s="21" t="s">
        <v>660</v>
      </c>
      <c r="E8" s="22">
        <v>1</v>
      </c>
      <c r="F8" s="18" t="s">
        <v>12</v>
      </c>
      <c r="G8" s="21" t="s">
        <v>661</v>
      </c>
      <c r="H8" s="21" t="s">
        <v>662</v>
      </c>
    </row>
    <row r="9" spans="1:8" ht="30" customHeight="1" x14ac:dyDescent="0.2">
      <c r="A9" s="14" t="s">
        <v>653</v>
      </c>
      <c r="B9" s="14" t="s">
        <v>654</v>
      </c>
      <c r="C9" s="15" t="s">
        <v>663</v>
      </c>
      <c r="D9" s="16" t="s">
        <v>664</v>
      </c>
      <c r="E9" s="22">
        <v>1</v>
      </c>
      <c r="F9" s="18" t="s">
        <v>23</v>
      </c>
      <c r="G9" s="16" t="s">
        <v>665</v>
      </c>
      <c r="H9" s="16" t="s">
        <v>666</v>
      </c>
    </row>
    <row r="10" spans="1:8" ht="30" customHeight="1" x14ac:dyDescent="0.2">
      <c r="A10" s="19" t="s">
        <v>653</v>
      </c>
      <c r="B10" s="19" t="s">
        <v>654</v>
      </c>
      <c r="C10" s="20" t="s">
        <v>667</v>
      </c>
      <c r="D10" s="21" t="s">
        <v>668</v>
      </c>
      <c r="E10" s="22">
        <v>1</v>
      </c>
      <c r="F10" s="18" t="s">
        <v>12</v>
      </c>
      <c r="G10" s="21" t="s">
        <v>669</v>
      </c>
      <c r="H10" s="21" t="s">
        <v>670</v>
      </c>
    </row>
    <row r="11" spans="1:8" ht="18" customHeight="1" x14ac:dyDescent="0.2">
      <c r="A11" s="13" t="s">
        <v>671</v>
      </c>
      <c r="B11" s="13" t="s">
        <v>672</v>
      </c>
      <c r="C11" s="13"/>
      <c r="D11" s="13"/>
      <c r="E11" s="13"/>
      <c r="F11" s="13"/>
      <c r="G11" s="13"/>
      <c r="H11" s="13"/>
    </row>
    <row r="12" spans="1:8" ht="30" customHeight="1" x14ac:dyDescent="0.2">
      <c r="A12" s="14" t="s">
        <v>671</v>
      </c>
      <c r="B12" s="14" t="s">
        <v>672</v>
      </c>
      <c r="C12" s="15" t="s">
        <v>673</v>
      </c>
      <c r="D12" s="16" t="s">
        <v>674</v>
      </c>
      <c r="E12" s="17">
        <v>2</v>
      </c>
      <c r="F12" s="18" t="s">
        <v>100</v>
      </c>
      <c r="G12" s="16" t="s">
        <v>675</v>
      </c>
      <c r="H12" s="16" t="s">
        <v>676</v>
      </c>
    </row>
    <row r="13" spans="1:8" ht="30" customHeight="1" x14ac:dyDescent="0.2">
      <c r="A13" s="19" t="s">
        <v>671</v>
      </c>
      <c r="B13" s="19" t="s">
        <v>672</v>
      </c>
      <c r="C13" s="20" t="s">
        <v>677</v>
      </c>
      <c r="D13" s="21" t="s">
        <v>678</v>
      </c>
      <c r="E13" s="17">
        <v>2</v>
      </c>
      <c r="F13" s="18" t="s">
        <v>12</v>
      </c>
      <c r="G13" s="21" t="s">
        <v>679</v>
      </c>
      <c r="H13" s="21" t="s">
        <v>645</v>
      </c>
    </row>
    <row r="14" spans="1:8" ht="18" customHeight="1" x14ac:dyDescent="0.2">
      <c r="A14" s="13" t="s">
        <v>680</v>
      </c>
      <c r="B14" s="13" t="s">
        <v>681</v>
      </c>
      <c r="C14" s="13"/>
      <c r="D14" s="13"/>
      <c r="E14" s="13"/>
      <c r="F14" s="13"/>
      <c r="G14" s="13"/>
      <c r="H14" s="13"/>
    </row>
    <row r="15" spans="1:8" ht="30" customHeight="1" x14ac:dyDescent="0.2">
      <c r="A15" s="14" t="s">
        <v>680</v>
      </c>
      <c r="B15" s="14" t="s">
        <v>681</v>
      </c>
      <c r="C15" s="15" t="s">
        <v>682</v>
      </c>
      <c r="D15" s="16" t="s">
        <v>683</v>
      </c>
      <c r="E15" s="22">
        <v>1</v>
      </c>
      <c r="F15" s="18" t="s">
        <v>12</v>
      </c>
      <c r="G15" s="16" t="s">
        <v>684</v>
      </c>
      <c r="H15" s="16" t="s">
        <v>685</v>
      </c>
    </row>
    <row r="16" spans="1:8" ht="30" customHeight="1" x14ac:dyDescent="0.2">
      <c r="A16" s="19" t="s">
        <v>680</v>
      </c>
      <c r="B16" s="19" t="s">
        <v>681</v>
      </c>
      <c r="C16" s="20" t="s">
        <v>686</v>
      </c>
      <c r="D16" s="21" t="s">
        <v>687</v>
      </c>
      <c r="E16" s="22">
        <v>1</v>
      </c>
      <c r="F16" s="18" t="s">
        <v>12</v>
      </c>
      <c r="G16" s="21" t="s">
        <v>688</v>
      </c>
      <c r="H16" s="21" t="s">
        <v>685</v>
      </c>
    </row>
    <row r="17" spans="1:8" ht="30" customHeight="1" x14ac:dyDescent="0.2">
      <c r="A17" s="14" t="s">
        <v>680</v>
      </c>
      <c r="B17" s="14" t="s">
        <v>681</v>
      </c>
      <c r="C17" s="15" t="s">
        <v>689</v>
      </c>
      <c r="D17" s="16" t="s">
        <v>690</v>
      </c>
      <c r="E17" s="17">
        <v>2</v>
      </c>
      <c r="F17" s="18" t="s">
        <v>100</v>
      </c>
      <c r="G17" s="16" t="s">
        <v>691</v>
      </c>
      <c r="H17" s="16" t="s">
        <v>692</v>
      </c>
    </row>
    <row r="18" spans="1:8" ht="30" customHeight="1" x14ac:dyDescent="0.2">
      <c r="A18" s="19" t="s">
        <v>680</v>
      </c>
      <c r="B18" s="19" t="s">
        <v>681</v>
      </c>
      <c r="C18" s="20" t="s">
        <v>693</v>
      </c>
      <c r="D18" s="21" t="s">
        <v>694</v>
      </c>
      <c r="E18" s="17">
        <v>2</v>
      </c>
      <c r="F18" s="18" t="s">
        <v>23</v>
      </c>
      <c r="G18" s="21" t="s">
        <v>695</v>
      </c>
      <c r="H18" s="21" t="s">
        <v>33</v>
      </c>
    </row>
    <row r="19" spans="1:8" ht="30" customHeight="1" x14ac:dyDescent="0.2">
      <c r="A19" s="14" t="s">
        <v>680</v>
      </c>
      <c r="B19" s="14" t="s">
        <v>681</v>
      </c>
      <c r="C19" s="15" t="s">
        <v>696</v>
      </c>
      <c r="D19" s="16" t="s">
        <v>697</v>
      </c>
      <c r="E19" s="17">
        <v>2</v>
      </c>
      <c r="F19" s="18" t="s">
        <v>100</v>
      </c>
      <c r="G19" s="16" t="s">
        <v>698</v>
      </c>
      <c r="H19" s="16" t="s">
        <v>699</v>
      </c>
    </row>
    <row r="20" spans="1:8" ht="18" customHeight="1" x14ac:dyDescent="0.2">
      <c r="A20" s="13" t="s">
        <v>700</v>
      </c>
      <c r="B20" s="13" t="s">
        <v>701</v>
      </c>
      <c r="C20" s="13"/>
      <c r="D20" s="13"/>
      <c r="E20" s="13"/>
      <c r="F20" s="13"/>
      <c r="G20" s="13"/>
      <c r="H20" s="13"/>
    </row>
    <row r="21" spans="1:8" ht="30" customHeight="1" x14ac:dyDescent="0.2">
      <c r="A21" s="14" t="s">
        <v>700</v>
      </c>
      <c r="B21" s="14" t="s">
        <v>701</v>
      </c>
      <c r="C21" s="15" t="s">
        <v>702</v>
      </c>
      <c r="D21" s="16" t="s">
        <v>703</v>
      </c>
      <c r="E21" s="17">
        <v>2</v>
      </c>
      <c r="F21" s="18" t="s">
        <v>100</v>
      </c>
      <c r="G21" s="16" t="s">
        <v>704</v>
      </c>
      <c r="H21" s="16" t="s">
        <v>705</v>
      </c>
    </row>
    <row r="22" spans="1:8" ht="30" customHeight="1" x14ac:dyDescent="0.2">
      <c r="A22" s="19" t="s">
        <v>700</v>
      </c>
      <c r="B22" s="19" t="s">
        <v>701</v>
      </c>
      <c r="C22" s="20" t="s">
        <v>706</v>
      </c>
      <c r="D22" s="21" t="s">
        <v>707</v>
      </c>
      <c r="E22" s="17">
        <v>2</v>
      </c>
      <c r="F22" s="18" t="s">
        <v>100</v>
      </c>
      <c r="G22" s="21" t="s">
        <v>708</v>
      </c>
      <c r="H22" s="21" t="s">
        <v>709</v>
      </c>
    </row>
    <row r="23" spans="1:8" ht="30" customHeight="1" x14ac:dyDescent="0.2">
      <c r="A23" s="14" t="s">
        <v>700</v>
      </c>
      <c r="B23" s="14" t="s">
        <v>701</v>
      </c>
      <c r="C23" s="15" t="s">
        <v>710</v>
      </c>
      <c r="D23" s="16" t="s">
        <v>711</v>
      </c>
      <c r="E23" s="23">
        <v>3</v>
      </c>
      <c r="F23" s="18" t="s">
        <v>100</v>
      </c>
      <c r="G23" s="16" t="s">
        <v>712</v>
      </c>
      <c r="H23" s="16" t="s">
        <v>713</v>
      </c>
    </row>
    <row r="24" spans="1:8" ht="18" customHeight="1" x14ac:dyDescent="0.2">
      <c r="A24" s="13" t="s">
        <v>714</v>
      </c>
      <c r="B24" s="13" t="s">
        <v>715</v>
      </c>
      <c r="C24" s="13"/>
      <c r="D24" s="13"/>
      <c r="E24" s="13"/>
      <c r="F24" s="13"/>
      <c r="G24" s="13"/>
      <c r="H24" s="13"/>
    </row>
    <row r="25" spans="1:8" ht="30" customHeight="1" x14ac:dyDescent="0.2">
      <c r="A25" s="14" t="s">
        <v>714</v>
      </c>
      <c r="B25" s="14" t="s">
        <v>715</v>
      </c>
      <c r="C25" s="15" t="s">
        <v>716</v>
      </c>
      <c r="D25" s="16" t="s">
        <v>717</v>
      </c>
      <c r="E25" s="17">
        <v>2</v>
      </c>
      <c r="F25" s="18" t="s">
        <v>23</v>
      </c>
      <c r="G25" s="16" t="s">
        <v>718</v>
      </c>
      <c r="H25" s="16" t="s">
        <v>33</v>
      </c>
    </row>
    <row r="26" spans="1:8" ht="30" customHeight="1" x14ac:dyDescent="0.2">
      <c r="A26" s="19" t="s">
        <v>714</v>
      </c>
      <c r="B26" s="19" t="s">
        <v>715</v>
      </c>
      <c r="C26" s="20" t="s">
        <v>719</v>
      </c>
      <c r="D26" s="21" t="s">
        <v>720</v>
      </c>
      <c r="E26" s="17">
        <v>2</v>
      </c>
      <c r="F26" s="18" t="s">
        <v>12</v>
      </c>
      <c r="G26" s="21" t="s">
        <v>721</v>
      </c>
      <c r="H26" s="21" t="s">
        <v>722</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723</v>
      </c>
      <c r="B2" s="13" t="s">
        <v>724</v>
      </c>
      <c r="C2" s="13"/>
      <c r="D2" s="13"/>
      <c r="E2" s="13"/>
      <c r="F2" s="13"/>
      <c r="G2" s="13"/>
      <c r="H2" s="13"/>
    </row>
    <row r="3" spans="1:8" ht="30" customHeight="1" x14ac:dyDescent="0.2">
      <c r="A3" s="14" t="s">
        <v>723</v>
      </c>
      <c r="B3" s="14" t="s">
        <v>724</v>
      </c>
      <c r="C3" s="15" t="s">
        <v>725</v>
      </c>
      <c r="D3" s="16" t="s">
        <v>726</v>
      </c>
      <c r="E3" s="22">
        <v>1</v>
      </c>
      <c r="F3" s="18" t="s">
        <v>12</v>
      </c>
      <c r="G3" s="16" t="s">
        <v>727</v>
      </c>
      <c r="H3" s="16" t="s">
        <v>728</v>
      </c>
    </row>
    <row r="4" spans="1:8" ht="30" customHeight="1" x14ac:dyDescent="0.2">
      <c r="A4" s="19" t="s">
        <v>723</v>
      </c>
      <c r="B4" s="19" t="s">
        <v>724</v>
      </c>
      <c r="C4" s="20" t="s">
        <v>729</v>
      </c>
      <c r="D4" s="21" t="s">
        <v>730</v>
      </c>
      <c r="E4" s="17">
        <v>2</v>
      </c>
      <c r="F4" s="18" t="s">
        <v>12</v>
      </c>
      <c r="G4" s="21" t="s">
        <v>731</v>
      </c>
      <c r="H4" s="21" t="s">
        <v>732</v>
      </c>
    </row>
    <row r="5" spans="1:8" ht="30" customHeight="1" x14ac:dyDescent="0.2">
      <c r="A5" s="14" t="s">
        <v>723</v>
      </c>
      <c r="B5" s="14" t="s">
        <v>724</v>
      </c>
      <c r="C5" s="15" t="s">
        <v>733</v>
      </c>
      <c r="D5" s="16" t="s">
        <v>734</v>
      </c>
      <c r="E5" s="23">
        <v>3</v>
      </c>
      <c r="F5" s="18" t="s">
        <v>100</v>
      </c>
      <c r="G5" s="16" t="s">
        <v>735</v>
      </c>
      <c r="H5" s="16" t="s">
        <v>736</v>
      </c>
    </row>
    <row r="6" spans="1:8" ht="30" customHeight="1" x14ac:dyDescent="0.2">
      <c r="A6" s="19" t="s">
        <v>723</v>
      </c>
      <c r="B6" s="19" t="s">
        <v>724</v>
      </c>
      <c r="C6" s="20" t="s">
        <v>737</v>
      </c>
      <c r="D6" s="21" t="s">
        <v>738</v>
      </c>
      <c r="E6" s="23">
        <v>3</v>
      </c>
      <c r="F6" s="18" t="s">
        <v>100</v>
      </c>
      <c r="G6" s="21" t="s">
        <v>739</v>
      </c>
      <c r="H6" s="21" t="s">
        <v>740</v>
      </c>
    </row>
    <row r="7" spans="1:8" ht="18" customHeight="1" x14ac:dyDescent="0.2">
      <c r="A7" s="13" t="s">
        <v>741</v>
      </c>
      <c r="B7" s="13" t="s">
        <v>742</v>
      </c>
      <c r="C7" s="13"/>
      <c r="D7" s="13"/>
      <c r="E7" s="13"/>
      <c r="F7" s="13"/>
      <c r="G7" s="13"/>
      <c r="H7" s="13"/>
    </row>
    <row r="8" spans="1:8" ht="30" customHeight="1" x14ac:dyDescent="0.2">
      <c r="A8" s="14" t="s">
        <v>741</v>
      </c>
      <c r="B8" s="14" t="s">
        <v>742</v>
      </c>
      <c r="C8" s="15" t="s">
        <v>743</v>
      </c>
      <c r="D8" s="16" t="s">
        <v>744</v>
      </c>
      <c r="E8" s="22">
        <v>1</v>
      </c>
      <c r="F8" s="18" t="s">
        <v>12</v>
      </c>
      <c r="G8" s="16" t="s">
        <v>745</v>
      </c>
      <c r="H8" s="16" t="s">
        <v>746</v>
      </c>
    </row>
    <row r="9" spans="1:8" ht="30" customHeight="1" x14ac:dyDescent="0.2">
      <c r="A9" s="19" t="s">
        <v>741</v>
      </c>
      <c r="B9" s="19" t="s">
        <v>742</v>
      </c>
      <c r="C9" s="20" t="s">
        <v>747</v>
      </c>
      <c r="D9" s="21" t="s">
        <v>748</v>
      </c>
      <c r="E9" s="22">
        <v>1</v>
      </c>
      <c r="F9" s="18" t="s">
        <v>12</v>
      </c>
      <c r="G9" s="21" t="s">
        <v>749</v>
      </c>
      <c r="H9" s="21" t="s">
        <v>750</v>
      </c>
    </row>
    <row r="10" spans="1:8" ht="30" customHeight="1" x14ac:dyDescent="0.2">
      <c r="A10" s="14" t="s">
        <v>741</v>
      </c>
      <c r="B10" s="14" t="s">
        <v>742</v>
      </c>
      <c r="C10" s="15" t="s">
        <v>751</v>
      </c>
      <c r="D10" s="16" t="s">
        <v>752</v>
      </c>
      <c r="E10" s="17">
        <v>2</v>
      </c>
      <c r="F10" s="18" t="s">
        <v>12</v>
      </c>
      <c r="G10" s="16" t="s">
        <v>753</v>
      </c>
      <c r="H10" s="16" t="s">
        <v>754</v>
      </c>
    </row>
    <row r="11" spans="1:8" ht="30" customHeight="1" x14ac:dyDescent="0.2">
      <c r="A11" s="19" t="s">
        <v>741</v>
      </c>
      <c r="B11" s="19" t="s">
        <v>742</v>
      </c>
      <c r="C11" s="20" t="s">
        <v>755</v>
      </c>
      <c r="D11" s="21" t="s">
        <v>756</v>
      </c>
      <c r="E11" s="23">
        <v>3</v>
      </c>
      <c r="F11" s="18" t="s">
        <v>100</v>
      </c>
      <c r="G11" s="21" t="s">
        <v>757</v>
      </c>
      <c r="H11" s="21" t="s">
        <v>758</v>
      </c>
    </row>
    <row r="12" spans="1:8" ht="18" customHeight="1" x14ac:dyDescent="0.2">
      <c r="A12" s="13" t="s">
        <v>759</v>
      </c>
      <c r="B12" s="13" t="s">
        <v>760</v>
      </c>
      <c r="C12" s="13"/>
      <c r="D12" s="13"/>
      <c r="E12" s="13"/>
      <c r="F12" s="13"/>
      <c r="G12" s="13"/>
      <c r="H12" s="13"/>
    </row>
    <row r="13" spans="1:8" ht="30" customHeight="1" x14ac:dyDescent="0.2">
      <c r="A13" s="14" t="s">
        <v>759</v>
      </c>
      <c r="B13" s="14" t="s">
        <v>760</v>
      </c>
      <c r="C13" s="15" t="s">
        <v>761</v>
      </c>
      <c r="D13" s="16" t="s">
        <v>762</v>
      </c>
      <c r="E13" s="22">
        <v>1</v>
      </c>
      <c r="F13" s="18" t="s">
        <v>12</v>
      </c>
      <c r="G13" s="16" t="s">
        <v>763</v>
      </c>
      <c r="H13" s="16" t="s">
        <v>764</v>
      </c>
    </row>
    <row r="14" spans="1:8" ht="30" customHeight="1" x14ac:dyDescent="0.2">
      <c r="A14" s="19" t="s">
        <v>759</v>
      </c>
      <c r="B14" s="19" t="s">
        <v>760</v>
      </c>
      <c r="C14" s="20" t="s">
        <v>765</v>
      </c>
      <c r="D14" s="21" t="s">
        <v>766</v>
      </c>
      <c r="E14" s="23">
        <v>3</v>
      </c>
      <c r="F14" s="18" t="s">
        <v>12</v>
      </c>
      <c r="G14" s="21" t="s">
        <v>767</v>
      </c>
      <c r="H14" s="21" t="s">
        <v>768</v>
      </c>
    </row>
    <row r="15" spans="1:8" ht="30" customHeight="1" x14ac:dyDescent="0.2">
      <c r="A15" s="14" t="s">
        <v>759</v>
      </c>
      <c r="B15" s="14" t="s">
        <v>760</v>
      </c>
      <c r="C15" s="15" t="s">
        <v>769</v>
      </c>
      <c r="D15" s="16" t="s">
        <v>770</v>
      </c>
      <c r="E15" s="23">
        <v>3</v>
      </c>
      <c r="F15" s="18" t="s">
        <v>12</v>
      </c>
      <c r="G15" s="16" t="s">
        <v>771</v>
      </c>
      <c r="H15" s="16" t="s">
        <v>772</v>
      </c>
    </row>
    <row r="16" spans="1:8" ht="18" customHeight="1" x14ac:dyDescent="0.2">
      <c r="A16" s="13" t="s">
        <v>773</v>
      </c>
      <c r="B16" s="13" t="s">
        <v>774</v>
      </c>
      <c r="C16" s="13"/>
      <c r="D16" s="13"/>
      <c r="E16" s="13"/>
      <c r="F16" s="13"/>
      <c r="G16" s="13"/>
      <c r="H16" s="13"/>
    </row>
    <row r="17" spans="1:8" ht="30" customHeight="1" x14ac:dyDescent="0.2">
      <c r="A17" s="14" t="s">
        <v>773</v>
      </c>
      <c r="B17" s="14" t="s">
        <v>774</v>
      </c>
      <c r="C17" s="15" t="s">
        <v>775</v>
      </c>
      <c r="D17" s="16" t="s">
        <v>776</v>
      </c>
      <c r="E17" s="17">
        <v>2</v>
      </c>
      <c r="F17" s="18" t="s">
        <v>23</v>
      </c>
      <c r="G17" s="16" t="s">
        <v>777</v>
      </c>
      <c r="H17" s="16" t="s">
        <v>33</v>
      </c>
    </row>
    <row r="18" spans="1:8" ht="30" customHeight="1" x14ac:dyDescent="0.2">
      <c r="A18" s="19" t="s">
        <v>773</v>
      </c>
      <c r="B18" s="19" t="s">
        <v>774</v>
      </c>
      <c r="C18" s="20" t="s">
        <v>778</v>
      </c>
      <c r="D18" s="21" t="s">
        <v>779</v>
      </c>
      <c r="E18" s="23">
        <v>3</v>
      </c>
      <c r="F18" s="18" t="s">
        <v>216</v>
      </c>
      <c r="G18" s="21" t="s">
        <v>780</v>
      </c>
      <c r="H18" s="21" t="s">
        <v>781</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782</v>
      </c>
      <c r="B2" s="13" t="s">
        <v>783</v>
      </c>
      <c r="C2" s="13"/>
      <c r="D2" s="13"/>
      <c r="E2" s="13"/>
      <c r="F2" s="13"/>
      <c r="G2" s="13"/>
      <c r="H2" s="13"/>
    </row>
    <row r="3" spans="1:8" ht="30" customHeight="1" x14ac:dyDescent="0.2">
      <c r="A3" s="14" t="s">
        <v>782</v>
      </c>
      <c r="B3" s="14" t="s">
        <v>783</v>
      </c>
      <c r="C3" s="15" t="s">
        <v>784</v>
      </c>
      <c r="D3" s="16" t="s">
        <v>785</v>
      </c>
      <c r="E3" s="22">
        <v>1</v>
      </c>
      <c r="F3" s="18" t="s">
        <v>12</v>
      </c>
      <c r="G3" s="16" t="s">
        <v>786</v>
      </c>
      <c r="H3" s="16" t="s">
        <v>787</v>
      </c>
    </row>
    <row r="4" spans="1:8" ht="30" customHeight="1" x14ac:dyDescent="0.2">
      <c r="A4" s="19" t="s">
        <v>782</v>
      </c>
      <c r="B4" s="19" t="s">
        <v>783</v>
      </c>
      <c r="C4" s="20" t="s">
        <v>788</v>
      </c>
      <c r="D4" s="21" t="s">
        <v>789</v>
      </c>
      <c r="E4" s="22">
        <v>1</v>
      </c>
      <c r="F4" s="18" t="s">
        <v>12</v>
      </c>
      <c r="G4" s="21" t="s">
        <v>790</v>
      </c>
      <c r="H4" s="21" t="s">
        <v>791</v>
      </c>
    </row>
    <row r="5" spans="1:8" ht="30" customHeight="1" x14ac:dyDescent="0.2">
      <c r="A5" s="14" t="s">
        <v>782</v>
      </c>
      <c r="B5" s="14" t="s">
        <v>783</v>
      </c>
      <c r="C5" s="15" t="s">
        <v>792</v>
      </c>
      <c r="D5" s="16" t="s">
        <v>793</v>
      </c>
      <c r="E5" s="22">
        <v>1</v>
      </c>
      <c r="F5" s="18" t="s">
        <v>12</v>
      </c>
      <c r="G5" s="16" t="s">
        <v>794</v>
      </c>
      <c r="H5" s="16" t="s">
        <v>795</v>
      </c>
    </row>
    <row r="6" spans="1:8" ht="18" customHeight="1" x14ac:dyDescent="0.2">
      <c r="A6" s="13" t="s">
        <v>796</v>
      </c>
      <c r="B6" s="13" t="s">
        <v>797</v>
      </c>
      <c r="C6" s="13"/>
      <c r="D6" s="13"/>
      <c r="E6" s="13"/>
      <c r="F6" s="13"/>
      <c r="G6" s="13"/>
      <c r="H6" s="13"/>
    </row>
    <row r="7" spans="1:8" ht="30" customHeight="1" x14ac:dyDescent="0.2">
      <c r="A7" s="14" t="s">
        <v>796</v>
      </c>
      <c r="B7" s="14" t="s">
        <v>797</v>
      </c>
      <c r="C7" s="15" t="s">
        <v>798</v>
      </c>
      <c r="D7" s="16" t="s">
        <v>799</v>
      </c>
      <c r="E7" s="22">
        <v>1</v>
      </c>
      <c r="F7" s="18" t="s">
        <v>12</v>
      </c>
      <c r="G7" s="16" t="s">
        <v>800</v>
      </c>
      <c r="H7" s="16" t="s">
        <v>787</v>
      </c>
    </row>
    <row r="8" spans="1:8" ht="30" customHeight="1" x14ac:dyDescent="0.2">
      <c r="A8" s="19" t="s">
        <v>796</v>
      </c>
      <c r="B8" s="19" t="s">
        <v>797</v>
      </c>
      <c r="C8" s="20" t="s">
        <v>801</v>
      </c>
      <c r="D8" s="21" t="s">
        <v>802</v>
      </c>
      <c r="E8" s="17">
        <v>2</v>
      </c>
      <c r="F8" s="18" t="s">
        <v>12</v>
      </c>
      <c r="G8" s="21" t="s">
        <v>803</v>
      </c>
      <c r="H8" s="21" t="s">
        <v>787</v>
      </c>
    </row>
    <row r="9" spans="1:8" ht="30" customHeight="1" x14ac:dyDescent="0.2">
      <c r="A9" s="14" t="s">
        <v>796</v>
      </c>
      <c r="B9" s="14" t="s">
        <v>797</v>
      </c>
      <c r="C9" s="15" t="s">
        <v>804</v>
      </c>
      <c r="D9" s="16" t="s">
        <v>805</v>
      </c>
      <c r="E9" s="17">
        <v>2</v>
      </c>
      <c r="F9" s="18" t="s">
        <v>12</v>
      </c>
      <c r="G9" s="16" t="s">
        <v>806</v>
      </c>
      <c r="H9" s="16" t="s">
        <v>807</v>
      </c>
    </row>
    <row r="10" spans="1:8" ht="30" customHeight="1" x14ac:dyDescent="0.2">
      <c r="A10" s="19" t="s">
        <v>796</v>
      </c>
      <c r="B10" s="19" t="s">
        <v>797</v>
      </c>
      <c r="C10" s="20" t="s">
        <v>808</v>
      </c>
      <c r="D10" s="21" t="s">
        <v>809</v>
      </c>
      <c r="E10" s="17">
        <v>2</v>
      </c>
      <c r="F10" s="18" t="s">
        <v>12</v>
      </c>
      <c r="G10" s="21" t="s">
        <v>810</v>
      </c>
      <c r="H10" s="21" t="s">
        <v>787</v>
      </c>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811</v>
      </c>
      <c r="B2" s="13" t="s">
        <v>812</v>
      </c>
      <c r="C2" s="13"/>
      <c r="D2" s="13"/>
      <c r="E2" s="13"/>
      <c r="F2" s="13"/>
      <c r="G2" s="13"/>
      <c r="H2" s="13"/>
    </row>
    <row r="3" spans="1:8" ht="30" customHeight="1" x14ac:dyDescent="0.2">
      <c r="A3" s="14" t="s">
        <v>811</v>
      </c>
      <c r="B3" s="14" t="s">
        <v>812</v>
      </c>
      <c r="C3" s="15" t="s">
        <v>813</v>
      </c>
      <c r="D3" s="16" t="s">
        <v>814</v>
      </c>
      <c r="E3" s="17">
        <v>2</v>
      </c>
      <c r="F3" s="18" t="s">
        <v>12</v>
      </c>
      <c r="G3" s="16" t="s">
        <v>815</v>
      </c>
      <c r="H3" s="16" t="s">
        <v>658</v>
      </c>
    </row>
    <row r="4" spans="1:8" ht="30" customHeight="1" x14ac:dyDescent="0.2">
      <c r="A4" s="19" t="s">
        <v>811</v>
      </c>
      <c r="B4" s="19" t="s">
        <v>812</v>
      </c>
      <c r="C4" s="20" t="s">
        <v>816</v>
      </c>
      <c r="D4" s="21" t="s">
        <v>817</v>
      </c>
      <c r="E4" s="17">
        <v>2</v>
      </c>
      <c r="F4" s="18" t="s">
        <v>23</v>
      </c>
      <c r="G4" s="21" t="s">
        <v>818</v>
      </c>
      <c r="H4" s="21" t="s">
        <v>33</v>
      </c>
    </row>
    <row r="5" spans="1:8" ht="18" customHeight="1" x14ac:dyDescent="0.2">
      <c r="A5" s="13" t="s">
        <v>819</v>
      </c>
      <c r="B5" s="13" t="s">
        <v>820</v>
      </c>
      <c r="C5" s="13"/>
      <c r="D5" s="13"/>
      <c r="E5" s="13"/>
      <c r="F5" s="13"/>
      <c r="G5" s="13"/>
      <c r="H5" s="13"/>
    </row>
    <row r="6" spans="1:8" ht="30" customHeight="1" x14ac:dyDescent="0.2">
      <c r="A6" s="14" t="s">
        <v>819</v>
      </c>
      <c r="B6" s="14" t="s">
        <v>820</v>
      </c>
      <c r="C6" s="15" t="s">
        <v>821</v>
      </c>
      <c r="D6" s="16" t="s">
        <v>822</v>
      </c>
      <c r="E6" s="17">
        <v>2</v>
      </c>
      <c r="F6" s="18" t="s">
        <v>23</v>
      </c>
      <c r="G6" s="16" t="s">
        <v>823</v>
      </c>
      <c r="H6" s="16" t="s">
        <v>33</v>
      </c>
    </row>
    <row r="7" spans="1:8" ht="30" customHeight="1" x14ac:dyDescent="0.2">
      <c r="A7" s="19" t="s">
        <v>819</v>
      </c>
      <c r="B7" s="19" t="s">
        <v>820</v>
      </c>
      <c r="C7" s="20" t="s">
        <v>824</v>
      </c>
      <c r="D7" s="21" t="s">
        <v>825</v>
      </c>
      <c r="E7" s="17">
        <v>2</v>
      </c>
      <c r="F7" s="18" t="s">
        <v>23</v>
      </c>
      <c r="G7" s="21" t="s">
        <v>826</v>
      </c>
      <c r="H7" s="21" t="s">
        <v>33</v>
      </c>
    </row>
    <row r="8" spans="1:8" ht="30" customHeight="1" x14ac:dyDescent="0.2">
      <c r="A8" s="14" t="s">
        <v>819</v>
      </c>
      <c r="B8" s="14" t="s">
        <v>820</v>
      </c>
      <c r="C8" s="15" t="s">
        <v>827</v>
      </c>
      <c r="D8" s="16" t="s">
        <v>828</v>
      </c>
      <c r="E8" s="23">
        <v>3</v>
      </c>
      <c r="F8" s="18" t="s">
        <v>23</v>
      </c>
      <c r="G8" s="16" t="s">
        <v>829</v>
      </c>
      <c r="H8" s="16" t="s">
        <v>33</v>
      </c>
    </row>
    <row r="9" spans="1:8" ht="18" customHeight="1" x14ac:dyDescent="0.2">
      <c r="A9" s="13" t="s">
        <v>830</v>
      </c>
      <c r="B9" s="13" t="s">
        <v>831</v>
      </c>
      <c r="C9" s="13"/>
      <c r="D9" s="13"/>
      <c r="E9" s="13"/>
      <c r="F9" s="13"/>
      <c r="G9" s="13"/>
      <c r="H9" s="13"/>
    </row>
    <row r="10" spans="1:8" ht="30" customHeight="1" x14ac:dyDescent="0.2">
      <c r="A10" s="14" t="s">
        <v>830</v>
      </c>
      <c r="B10" s="14" t="s">
        <v>831</v>
      </c>
      <c r="C10" s="15" t="s">
        <v>832</v>
      </c>
      <c r="D10" s="16" t="s">
        <v>833</v>
      </c>
      <c r="E10" s="17">
        <v>2</v>
      </c>
      <c r="F10" s="18" t="s">
        <v>12</v>
      </c>
      <c r="G10" s="16" t="s">
        <v>834</v>
      </c>
      <c r="H10" s="16" t="s">
        <v>787</v>
      </c>
    </row>
    <row r="11" spans="1:8" ht="30" customHeight="1" x14ac:dyDescent="0.2">
      <c r="A11" s="19" t="s">
        <v>830</v>
      </c>
      <c r="B11" s="19" t="s">
        <v>831</v>
      </c>
      <c r="C11" s="20" t="s">
        <v>835</v>
      </c>
      <c r="D11" s="21" t="s">
        <v>836</v>
      </c>
      <c r="E11" s="17">
        <v>2</v>
      </c>
      <c r="F11" s="18" t="s">
        <v>12</v>
      </c>
      <c r="G11" s="21" t="s">
        <v>837</v>
      </c>
      <c r="H11" s="21" t="s">
        <v>838</v>
      </c>
    </row>
    <row r="12" spans="1:8" ht="30" customHeight="1" x14ac:dyDescent="0.2">
      <c r="A12" s="14" t="s">
        <v>830</v>
      </c>
      <c r="B12" s="14" t="s">
        <v>831</v>
      </c>
      <c r="C12" s="15" t="s">
        <v>839</v>
      </c>
      <c r="D12" s="16" t="s">
        <v>840</v>
      </c>
      <c r="E12" s="17">
        <v>2</v>
      </c>
      <c r="F12" s="18" t="s">
        <v>12</v>
      </c>
      <c r="G12" s="16" t="s">
        <v>841</v>
      </c>
      <c r="H12" s="16" t="s">
        <v>842</v>
      </c>
    </row>
    <row r="13" spans="1:8" ht="30" customHeight="1" x14ac:dyDescent="0.2">
      <c r="A13" s="19" t="s">
        <v>830</v>
      </c>
      <c r="B13" s="19" t="s">
        <v>831</v>
      </c>
      <c r="C13" s="20" t="s">
        <v>843</v>
      </c>
      <c r="D13" s="21" t="s">
        <v>844</v>
      </c>
      <c r="E13" s="17">
        <v>2</v>
      </c>
      <c r="F13" s="18" t="s">
        <v>100</v>
      </c>
      <c r="G13" s="21" t="s">
        <v>845</v>
      </c>
      <c r="H13" s="21" t="s">
        <v>846</v>
      </c>
    </row>
    <row r="14" spans="1:8" ht="30" customHeight="1" x14ac:dyDescent="0.2">
      <c r="A14" s="14" t="s">
        <v>830</v>
      </c>
      <c r="B14" s="14" t="s">
        <v>831</v>
      </c>
      <c r="C14" s="15" t="s">
        <v>847</v>
      </c>
      <c r="D14" s="16" t="s">
        <v>848</v>
      </c>
      <c r="E14" s="23">
        <v>3</v>
      </c>
      <c r="F14" s="18" t="s">
        <v>100</v>
      </c>
      <c r="G14" s="16" t="s">
        <v>849</v>
      </c>
      <c r="H14" s="16" t="s">
        <v>850</v>
      </c>
    </row>
    <row r="15" spans="1:8" ht="18" customHeight="1" x14ac:dyDescent="0.2">
      <c r="A15" s="13" t="s">
        <v>851</v>
      </c>
      <c r="B15" s="13" t="s">
        <v>852</v>
      </c>
      <c r="C15" s="13"/>
      <c r="D15" s="13"/>
      <c r="E15" s="13"/>
      <c r="F15" s="13"/>
      <c r="G15" s="13"/>
      <c r="H15" s="13"/>
    </row>
    <row r="16" spans="1:8" ht="30" customHeight="1" x14ac:dyDescent="0.2">
      <c r="A16" s="14" t="s">
        <v>851</v>
      </c>
      <c r="B16" s="14" t="s">
        <v>852</v>
      </c>
      <c r="C16" s="15" t="s">
        <v>853</v>
      </c>
      <c r="D16" s="16" t="s">
        <v>854</v>
      </c>
      <c r="E16" s="22">
        <v>1</v>
      </c>
      <c r="F16" s="18" t="s">
        <v>23</v>
      </c>
      <c r="G16" s="16" t="s">
        <v>855</v>
      </c>
      <c r="H16" s="16" t="s">
        <v>33</v>
      </c>
    </row>
    <row r="17" spans="1:8" ht="30" customHeight="1" x14ac:dyDescent="0.2">
      <c r="A17" s="19" t="s">
        <v>851</v>
      </c>
      <c r="B17" s="19" t="s">
        <v>852</v>
      </c>
      <c r="C17" s="20" t="s">
        <v>856</v>
      </c>
      <c r="D17" s="21" t="s">
        <v>857</v>
      </c>
      <c r="E17" s="22">
        <v>1</v>
      </c>
      <c r="F17" s="18" t="s">
        <v>23</v>
      </c>
      <c r="G17" s="21" t="s">
        <v>858</v>
      </c>
      <c r="H17" s="21" t="s">
        <v>33</v>
      </c>
    </row>
    <row r="18" spans="1:8" ht="30" customHeight="1" x14ac:dyDescent="0.2">
      <c r="A18" s="14" t="s">
        <v>851</v>
      </c>
      <c r="B18" s="14" t="s">
        <v>852</v>
      </c>
      <c r="C18" s="15" t="s">
        <v>859</v>
      </c>
      <c r="D18" s="16" t="s">
        <v>860</v>
      </c>
      <c r="E18" s="22">
        <v>1</v>
      </c>
      <c r="F18" s="18" t="s">
        <v>23</v>
      </c>
      <c r="G18" s="16" t="s">
        <v>861</v>
      </c>
      <c r="H18" s="16" t="s">
        <v>33</v>
      </c>
    </row>
    <row r="19" spans="1:8" ht="30" customHeight="1" x14ac:dyDescent="0.2">
      <c r="A19" s="19" t="s">
        <v>851</v>
      </c>
      <c r="B19" s="19" t="s">
        <v>852</v>
      </c>
      <c r="C19" s="20" t="s">
        <v>862</v>
      </c>
      <c r="D19" s="21" t="s">
        <v>863</v>
      </c>
      <c r="E19" s="22">
        <v>1</v>
      </c>
      <c r="F19" s="18" t="s">
        <v>12</v>
      </c>
      <c r="G19" s="21" t="s">
        <v>864</v>
      </c>
      <c r="H19" s="21" t="s">
        <v>865</v>
      </c>
    </row>
    <row r="20" spans="1:8" ht="30" customHeight="1" x14ac:dyDescent="0.2">
      <c r="A20" s="14" t="s">
        <v>851</v>
      </c>
      <c r="B20" s="14" t="s">
        <v>852</v>
      </c>
      <c r="C20" s="15" t="s">
        <v>866</v>
      </c>
      <c r="D20" s="16" t="s">
        <v>867</v>
      </c>
      <c r="E20" s="22">
        <v>1</v>
      </c>
      <c r="F20" s="18" t="s">
        <v>100</v>
      </c>
      <c r="G20" s="16" t="s">
        <v>868</v>
      </c>
      <c r="H20" s="16" t="s">
        <v>869</v>
      </c>
    </row>
    <row r="21" spans="1:8" ht="30" customHeight="1" x14ac:dyDescent="0.2">
      <c r="A21" s="19" t="s">
        <v>851</v>
      </c>
      <c r="B21" s="19" t="s">
        <v>852</v>
      </c>
      <c r="C21" s="20" t="s">
        <v>870</v>
      </c>
      <c r="D21" s="21" t="s">
        <v>871</v>
      </c>
      <c r="E21" s="17">
        <v>2</v>
      </c>
      <c r="F21" s="18" t="s">
        <v>23</v>
      </c>
      <c r="G21" s="21" t="s">
        <v>872</v>
      </c>
      <c r="H21" s="21" t="s">
        <v>33</v>
      </c>
    </row>
    <row r="22" spans="1:8" ht="30" customHeight="1" x14ac:dyDescent="0.2">
      <c r="A22" s="14" t="s">
        <v>851</v>
      </c>
      <c r="B22" s="14" t="s">
        <v>852</v>
      </c>
      <c r="C22" s="15" t="s">
        <v>873</v>
      </c>
      <c r="D22" s="16" t="s">
        <v>874</v>
      </c>
      <c r="E22" s="17">
        <v>2</v>
      </c>
      <c r="F22" s="18" t="s">
        <v>23</v>
      </c>
      <c r="G22" s="16" t="s">
        <v>875</v>
      </c>
      <c r="H22" s="16" t="s">
        <v>33</v>
      </c>
    </row>
    <row r="23" spans="1:8" ht="30" customHeight="1" x14ac:dyDescent="0.2">
      <c r="A23" s="19" t="s">
        <v>851</v>
      </c>
      <c r="B23" s="19" t="s">
        <v>852</v>
      </c>
      <c r="C23" s="20" t="s">
        <v>876</v>
      </c>
      <c r="D23" s="21" t="s">
        <v>877</v>
      </c>
      <c r="E23" s="17">
        <v>2</v>
      </c>
      <c r="F23" s="18" t="s">
        <v>100</v>
      </c>
      <c r="G23" s="21" t="s">
        <v>878</v>
      </c>
      <c r="H23" s="21" t="s">
        <v>879</v>
      </c>
    </row>
    <row r="24" spans="1:8" ht="30" customHeight="1" x14ac:dyDescent="0.2">
      <c r="A24" s="14" t="s">
        <v>851</v>
      </c>
      <c r="B24" s="14" t="s">
        <v>852</v>
      </c>
      <c r="C24" s="15" t="s">
        <v>880</v>
      </c>
      <c r="D24" s="16" t="s">
        <v>881</v>
      </c>
      <c r="E24" s="17">
        <v>2</v>
      </c>
      <c r="F24" s="18" t="s">
        <v>100</v>
      </c>
      <c r="G24" s="16" t="s">
        <v>882</v>
      </c>
      <c r="H24" s="16" t="s">
        <v>883</v>
      </c>
    </row>
    <row r="25" spans="1:8" ht="30" customHeight="1" x14ac:dyDescent="0.2">
      <c r="A25" s="19" t="s">
        <v>851</v>
      </c>
      <c r="B25" s="19" t="s">
        <v>852</v>
      </c>
      <c r="C25" s="20" t="s">
        <v>884</v>
      </c>
      <c r="D25" s="21" t="s">
        <v>885</v>
      </c>
      <c r="E25" s="17">
        <v>2</v>
      </c>
      <c r="F25" s="18" t="s">
        <v>23</v>
      </c>
      <c r="G25" s="21" t="s">
        <v>886</v>
      </c>
      <c r="H25" s="21" t="s">
        <v>33</v>
      </c>
    </row>
    <row r="26" spans="1:8" ht="30" customHeight="1" x14ac:dyDescent="0.2">
      <c r="A26" s="14" t="s">
        <v>851</v>
      </c>
      <c r="B26" s="14" t="s">
        <v>852</v>
      </c>
      <c r="C26" s="15" t="s">
        <v>887</v>
      </c>
      <c r="D26" s="16" t="s">
        <v>888</v>
      </c>
      <c r="E26" s="17">
        <v>2</v>
      </c>
      <c r="F26" s="18" t="s">
        <v>12</v>
      </c>
      <c r="G26" s="16" t="s">
        <v>889</v>
      </c>
      <c r="H26" s="16" t="s">
        <v>890</v>
      </c>
    </row>
    <row r="27" spans="1:8" ht="30" customHeight="1" x14ac:dyDescent="0.2">
      <c r="A27" s="19" t="s">
        <v>851</v>
      </c>
      <c r="B27" s="19" t="s">
        <v>852</v>
      </c>
      <c r="C27" s="20" t="s">
        <v>891</v>
      </c>
      <c r="D27" s="21" t="s">
        <v>892</v>
      </c>
      <c r="E27" s="23">
        <v>3</v>
      </c>
      <c r="F27" s="18" t="s">
        <v>23</v>
      </c>
      <c r="G27" s="21" t="s">
        <v>893</v>
      </c>
      <c r="H27" s="21" t="s">
        <v>33</v>
      </c>
    </row>
    <row r="28" spans="1:8" ht="30" customHeight="1" x14ac:dyDescent="0.2">
      <c r="A28" s="14" t="s">
        <v>851</v>
      </c>
      <c r="B28" s="14" t="s">
        <v>852</v>
      </c>
      <c r="C28" s="15" t="s">
        <v>894</v>
      </c>
      <c r="D28" s="16" t="s">
        <v>895</v>
      </c>
      <c r="E28" s="23">
        <v>3</v>
      </c>
      <c r="F28" s="18" t="s">
        <v>23</v>
      </c>
      <c r="G28" s="16" t="s">
        <v>896</v>
      </c>
      <c r="H28" s="16" t="s">
        <v>33</v>
      </c>
    </row>
    <row r="29" spans="1:8" ht="30" customHeight="1" x14ac:dyDescent="0.2">
      <c r="A29" s="19" t="s">
        <v>851</v>
      </c>
      <c r="B29" s="19" t="s">
        <v>852</v>
      </c>
      <c r="C29" s="20" t="s">
        <v>897</v>
      </c>
      <c r="D29" s="21" t="s">
        <v>898</v>
      </c>
      <c r="E29" s="23">
        <v>3</v>
      </c>
      <c r="F29" s="18" t="s">
        <v>100</v>
      </c>
      <c r="G29" s="21" t="s">
        <v>899</v>
      </c>
      <c r="H29" s="21" t="s">
        <v>900</v>
      </c>
    </row>
    <row r="30" spans="1:8" ht="30" customHeight="1" x14ac:dyDescent="0.2">
      <c r="A30" s="14" t="s">
        <v>851</v>
      </c>
      <c r="B30" s="14" t="s">
        <v>852</v>
      </c>
      <c r="C30" s="15" t="s">
        <v>901</v>
      </c>
      <c r="D30" s="16" t="s">
        <v>902</v>
      </c>
      <c r="E30" s="23">
        <v>3</v>
      </c>
      <c r="F30" s="18" t="s">
        <v>23</v>
      </c>
      <c r="G30" s="16" t="s">
        <v>903</v>
      </c>
      <c r="H30" s="16" t="s">
        <v>33</v>
      </c>
    </row>
    <row r="31" spans="1:8" ht="30" customHeight="1" x14ac:dyDescent="0.2">
      <c r="A31" s="19" t="s">
        <v>851</v>
      </c>
      <c r="B31" s="19" t="s">
        <v>852</v>
      </c>
      <c r="C31" s="20" t="s">
        <v>904</v>
      </c>
      <c r="D31" s="21" t="s">
        <v>905</v>
      </c>
      <c r="E31" s="23">
        <v>3</v>
      </c>
      <c r="F31" s="18" t="s">
        <v>12</v>
      </c>
      <c r="G31" s="21" t="s">
        <v>906</v>
      </c>
      <c r="H31" s="21" t="s">
        <v>907</v>
      </c>
    </row>
    <row r="32" spans="1:8" ht="18" customHeight="1" x14ac:dyDescent="0.2">
      <c r="A32" s="13" t="s">
        <v>908</v>
      </c>
      <c r="B32" s="13" t="s">
        <v>909</v>
      </c>
      <c r="C32" s="13"/>
      <c r="D32" s="13"/>
      <c r="E32" s="13"/>
      <c r="F32" s="13"/>
      <c r="G32" s="13"/>
      <c r="H32" s="13"/>
    </row>
    <row r="33" spans="1:8" ht="30" customHeight="1" x14ac:dyDescent="0.2">
      <c r="A33" s="14" t="s">
        <v>908</v>
      </c>
      <c r="B33" s="14" t="s">
        <v>909</v>
      </c>
      <c r="C33" s="15" t="s">
        <v>910</v>
      </c>
      <c r="D33" s="16" t="s">
        <v>911</v>
      </c>
      <c r="E33" s="17">
        <v>2</v>
      </c>
      <c r="F33" s="18" t="s">
        <v>100</v>
      </c>
      <c r="G33" s="16" t="s">
        <v>912</v>
      </c>
      <c r="H33" s="16" t="s">
        <v>913</v>
      </c>
    </row>
    <row r="34" spans="1:8" ht="30" customHeight="1" x14ac:dyDescent="0.2">
      <c r="A34" s="19" t="s">
        <v>908</v>
      </c>
      <c r="B34" s="19" t="s">
        <v>909</v>
      </c>
      <c r="C34" s="20" t="s">
        <v>914</v>
      </c>
      <c r="D34" s="21" t="s">
        <v>915</v>
      </c>
      <c r="E34" s="17">
        <v>2</v>
      </c>
      <c r="F34" s="18" t="s">
        <v>12</v>
      </c>
      <c r="G34" s="21" t="s">
        <v>916</v>
      </c>
      <c r="H34" s="21" t="s">
        <v>787</v>
      </c>
    </row>
    <row r="35" spans="1:8" ht="30" customHeight="1" x14ac:dyDescent="0.2">
      <c r="A35" s="14" t="s">
        <v>908</v>
      </c>
      <c r="B35" s="14" t="s">
        <v>909</v>
      </c>
      <c r="C35" s="15" t="s">
        <v>917</v>
      </c>
      <c r="D35" s="16" t="s">
        <v>918</v>
      </c>
      <c r="E35" s="17">
        <v>2</v>
      </c>
      <c r="F35" s="18" t="s">
        <v>12</v>
      </c>
      <c r="G35" s="16" t="s">
        <v>919</v>
      </c>
      <c r="H35" s="16" t="s">
        <v>920</v>
      </c>
    </row>
    <row r="36" spans="1:8" ht="30" customHeight="1" x14ac:dyDescent="0.2">
      <c r="A36" s="19" t="s">
        <v>908</v>
      </c>
      <c r="B36" s="19" t="s">
        <v>909</v>
      </c>
      <c r="C36" s="20" t="s">
        <v>921</v>
      </c>
      <c r="D36" s="21" t="s">
        <v>922</v>
      </c>
      <c r="E36" s="17">
        <v>2</v>
      </c>
      <c r="F36" s="18" t="s">
        <v>12</v>
      </c>
      <c r="G36" s="21" t="s">
        <v>923</v>
      </c>
      <c r="H36" s="21" t="s">
        <v>787</v>
      </c>
    </row>
    <row r="37" spans="1:8" ht="30" customHeight="1" x14ac:dyDescent="0.2">
      <c r="A37" s="14" t="s">
        <v>908</v>
      </c>
      <c r="B37" s="14" t="s">
        <v>909</v>
      </c>
      <c r="C37" s="15" t="s">
        <v>924</v>
      </c>
      <c r="D37" s="16" t="s">
        <v>925</v>
      </c>
      <c r="E37" s="17">
        <v>2</v>
      </c>
      <c r="F37" s="18" t="s">
        <v>100</v>
      </c>
      <c r="G37" s="16" t="s">
        <v>926</v>
      </c>
      <c r="H37" s="16" t="s">
        <v>927</v>
      </c>
    </row>
    <row r="38" spans="1:8" ht="18" customHeight="1" x14ac:dyDescent="0.2">
      <c r="A38" s="13" t="s">
        <v>928</v>
      </c>
      <c r="B38" s="13" t="s">
        <v>929</v>
      </c>
      <c r="C38" s="13"/>
      <c r="D38" s="13"/>
      <c r="E38" s="13"/>
      <c r="F38" s="13"/>
      <c r="G38" s="13"/>
      <c r="H38" s="13"/>
    </row>
    <row r="39" spans="1:8" ht="30" customHeight="1" x14ac:dyDescent="0.2">
      <c r="A39" s="14" t="s">
        <v>928</v>
      </c>
      <c r="B39" s="14" t="s">
        <v>929</v>
      </c>
      <c r="C39" s="15" t="s">
        <v>930</v>
      </c>
      <c r="D39" s="16" t="s">
        <v>931</v>
      </c>
      <c r="E39" s="17">
        <v>2</v>
      </c>
      <c r="F39" s="18" t="s">
        <v>12</v>
      </c>
      <c r="G39" s="16" t="s">
        <v>932</v>
      </c>
      <c r="H39" s="16" t="s">
        <v>865</v>
      </c>
    </row>
    <row r="40" spans="1:8" ht="30" customHeight="1" x14ac:dyDescent="0.2">
      <c r="A40" s="19" t="s">
        <v>928</v>
      </c>
      <c r="B40" s="19" t="s">
        <v>929</v>
      </c>
      <c r="C40" s="20" t="s">
        <v>933</v>
      </c>
      <c r="D40" s="21" t="s">
        <v>934</v>
      </c>
      <c r="E40" s="17">
        <v>2</v>
      </c>
      <c r="F40" s="18" t="s">
        <v>100</v>
      </c>
      <c r="G40" s="21" t="s">
        <v>935</v>
      </c>
      <c r="H40" s="21" t="s">
        <v>936</v>
      </c>
    </row>
    <row r="41" spans="1:8" ht="18" customHeight="1" x14ac:dyDescent="0.2">
      <c r="A41" s="13" t="s">
        <v>937</v>
      </c>
      <c r="B41" s="13" t="s">
        <v>938</v>
      </c>
      <c r="C41" s="13"/>
      <c r="D41" s="13"/>
      <c r="E41" s="13"/>
      <c r="F41" s="13"/>
      <c r="G41" s="13"/>
      <c r="H41" s="13"/>
    </row>
    <row r="42" spans="1:8" ht="30" customHeight="1" x14ac:dyDescent="0.2">
      <c r="A42" s="14" t="s">
        <v>937</v>
      </c>
      <c r="B42" s="14" t="s">
        <v>938</v>
      </c>
      <c r="C42" s="15" t="s">
        <v>939</v>
      </c>
      <c r="D42" s="16" t="s">
        <v>940</v>
      </c>
      <c r="E42" s="17">
        <v>2</v>
      </c>
      <c r="F42" s="18" t="s">
        <v>23</v>
      </c>
      <c r="G42" s="16" t="s">
        <v>941</v>
      </c>
      <c r="H42" s="16" t="s">
        <v>33</v>
      </c>
    </row>
    <row r="43" spans="1:8" ht="30" customHeight="1" x14ac:dyDescent="0.2">
      <c r="A43" s="19" t="s">
        <v>937</v>
      </c>
      <c r="B43" s="19" t="s">
        <v>938</v>
      </c>
      <c r="C43" s="20" t="s">
        <v>942</v>
      </c>
      <c r="D43" s="21" t="s">
        <v>943</v>
      </c>
      <c r="E43" s="17">
        <v>2</v>
      </c>
      <c r="F43" s="18" t="s">
        <v>23</v>
      </c>
      <c r="G43" s="21" t="s">
        <v>944</v>
      </c>
      <c r="H43" s="21" t="s">
        <v>33</v>
      </c>
    </row>
    <row r="44" spans="1:8" ht="30" customHeight="1" x14ac:dyDescent="0.2">
      <c r="A44" s="14" t="s">
        <v>937</v>
      </c>
      <c r="B44" s="14" t="s">
        <v>938</v>
      </c>
      <c r="C44" s="15" t="s">
        <v>945</v>
      </c>
      <c r="D44" s="16" t="s">
        <v>946</v>
      </c>
      <c r="E44" s="17">
        <v>2</v>
      </c>
      <c r="F44" s="18" t="s">
        <v>100</v>
      </c>
      <c r="G44" s="16" t="s">
        <v>947</v>
      </c>
      <c r="H44" s="16" t="s">
        <v>948</v>
      </c>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949</v>
      </c>
      <c r="B2" s="13" t="s">
        <v>950</v>
      </c>
      <c r="C2" s="13"/>
      <c r="D2" s="13"/>
      <c r="E2" s="13"/>
      <c r="F2" s="13"/>
      <c r="G2" s="13"/>
      <c r="H2" s="13"/>
    </row>
    <row r="3" spans="1:8" ht="30" customHeight="1" x14ac:dyDescent="0.2">
      <c r="A3" s="14" t="s">
        <v>949</v>
      </c>
      <c r="B3" s="14" t="s">
        <v>950</v>
      </c>
      <c r="C3" s="15" t="s">
        <v>951</v>
      </c>
      <c r="D3" s="16" t="s">
        <v>952</v>
      </c>
      <c r="E3" s="17">
        <v>2</v>
      </c>
      <c r="F3" s="18" t="s">
        <v>12</v>
      </c>
      <c r="G3" s="16" t="s">
        <v>953</v>
      </c>
      <c r="H3" s="16" t="s">
        <v>954</v>
      </c>
    </row>
    <row r="4" spans="1:8" ht="30" customHeight="1" x14ac:dyDescent="0.2">
      <c r="A4" s="19" t="s">
        <v>949</v>
      </c>
      <c r="B4" s="19" t="s">
        <v>950</v>
      </c>
      <c r="C4" s="20" t="s">
        <v>955</v>
      </c>
      <c r="D4" s="21" t="s">
        <v>956</v>
      </c>
      <c r="E4" s="17">
        <v>2</v>
      </c>
      <c r="F4" s="18" t="s">
        <v>12</v>
      </c>
      <c r="G4" s="21" t="s">
        <v>957</v>
      </c>
      <c r="H4" s="21" t="s">
        <v>958</v>
      </c>
    </row>
    <row r="5" spans="1:8" ht="30" customHeight="1" x14ac:dyDescent="0.2">
      <c r="A5" s="14" t="s">
        <v>949</v>
      </c>
      <c r="B5" s="14" t="s">
        <v>950</v>
      </c>
      <c r="C5" s="15" t="s">
        <v>959</v>
      </c>
      <c r="D5" s="16" t="s">
        <v>960</v>
      </c>
      <c r="E5" s="23">
        <v>3</v>
      </c>
      <c r="F5" s="18" t="s">
        <v>12</v>
      </c>
      <c r="G5" s="16" t="s">
        <v>961</v>
      </c>
      <c r="H5" s="16" t="s">
        <v>962</v>
      </c>
    </row>
    <row r="6" spans="1:8" ht="30" customHeight="1" x14ac:dyDescent="0.2">
      <c r="A6" s="19" t="s">
        <v>949</v>
      </c>
      <c r="B6" s="19" t="s">
        <v>950</v>
      </c>
      <c r="C6" s="20" t="s">
        <v>963</v>
      </c>
      <c r="D6" s="21" t="s">
        <v>964</v>
      </c>
      <c r="E6" s="23">
        <v>3</v>
      </c>
      <c r="F6" s="18" t="s">
        <v>100</v>
      </c>
      <c r="G6" s="21" t="s">
        <v>965</v>
      </c>
      <c r="H6" s="21" t="s">
        <v>966</v>
      </c>
    </row>
    <row r="7" spans="1:8" ht="18" customHeight="1" x14ac:dyDescent="0.2">
      <c r="A7" s="13" t="s">
        <v>967</v>
      </c>
      <c r="B7" s="13" t="s">
        <v>968</v>
      </c>
      <c r="C7" s="13"/>
      <c r="D7" s="13"/>
      <c r="E7" s="13"/>
      <c r="F7" s="13"/>
      <c r="G7" s="13"/>
      <c r="H7" s="13"/>
    </row>
    <row r="8" spans="1:8" ht="30" customHeight="1" x14ac:dyDescent="0.2">
      <c r="A8" s="14" t="s">
        <v>967</v>
      </c>
      <c r="B8" s="14" t="s">
        <v>968</v>
      </c>
      <c r="C8" s="15" t="s">
        <v>969</v>
      </c>
      <c r="D8" s="16" t="s">
        <v>970</v>
      </c>
      <c r="E8" s="17">
        <v>2</v>
      </c>
      <c r="F8" s="18" t="s">
        <v>12</v>
      </c>
      <c r="G8" s="16" t="s">
        <v>971</v>
      </c>
      <c r="H8" s="16" t="s">
        <v>972</v>
      </c>
    </row>
    <row r="9" spans="1:8" ht="30" customHeight="1" x14ac:dyDescent="0.2">
      <c r="A9" s="19" t="s">
        <v>967</v>
      </c>
      <c r="B9" s="19" t="s">
        <v>968</v>
      </c>
      <c r="C9" s="20" t="s">
        <v>973</v>
      </c>
      <c r="D9" s="21" t="s">
        <v>974</v>
      </c>
      <c r="E9" s="17">
        <v>2</v>
      </c>
      <c r="F9" s="18" t="s">
        <v>12</v>
      </c>
      <c r="G9" s="21" t="s">
        <v>975</v>
      </c>
      <c r="H9" s="21" t="s">
        <v>976</v>
      </c>
    </row>
    <row r="10" spans="1:8" ht="30" customHeight="1" x14ac:dyDescent="0.2">
      <c r="A10" s="14" t="s">
        <v>967</v>
      </c>
      <c r="B10" s="14" t="s">
        <v>968</v>
      </c>
      <c r="C10" s="15" t="s">
        <v>977</v>
      </c>
      <c r="D10" s="16" t="s">
        <v>978</v>
      </c>
      <c r="E10" s="17">
        <v>2</v>
      </c>
      <c r="F10" s="18" t="s">
        <v>12</v>
      </c>
      <c r="G10" s="16" t="s">
        <v>979</v>
      </c>
      <c r="H10" s="16" t="s">
        <v>980</v>
      </c>
    </row>
    <row r="11" spans="1:8" ht="30" customHeight="1" x14ac:dyDescent="0.2">
      <c r="A11" s="19" t="s">
        <v>967</v>
      </c>
      <c r="B11" s="19" t="s">
        <v>968</v>
      </c>
      <c r="C11" s="20" t="s">
        <v>981</v>
      </c>
      <c r="D11" s="21" t="s">
        <v>982</v>
      </c>
      <c r="E11" s="23">
        <v>3</v>
      </c>
      <c r="F11" s="18" t="s">
        <v>216</v>
      </c>
      <c r="G11" s="21" t="s">
        <v>983</v>
      </c>
      <c r="H11" s="21" t="s">
        <v>984</v>
      </c>
    </row>
    <row r="12" spans="1:8" ht="30" customHeight="1" x14ac:dyDescent="0.2">
      <c r="A12" s="14" t="s">
        <v>967</v>
      </c>
      <c r="B12" s="14" t="s">
        <v>968</v>
      </c>
      <c r="C12" s="15" t="s">
        <v>985</v>
      </c>
      <c r="D12" s="16" t="s">
        <v>986</v>
      </c>
      <c r="E12" s="23">
        <v>3</v>
      </c>
      <c r="F12" s="18" t="s">
        <v>12</v>
      </c>
      <c r="G12" s="16" t="s">
        <v>987</v>
      </c>
      <c r="H12" s="16" t="s">
        <v>988</v>
      </c>
    </row>
    <row r="13" spans="1:8" ht="18" customHeight="1" x14ac:dyDescent="0.2">
      <c r="A13" s="13" t="s">
        <v>989</v>
      </c>
      <c r="B13" s="13" t="s">
        <v>990</v>
      </c>
      <c r="C13" s="13"/>
      <c r="D13" s="13"/>
      <c r="E13" s="13"/>
      <c r="F13" s="13"/>
      <c r="G13" s="13"/>
      <c r="H13" s="13"/>
    </row>
    <row r="14" spans="1:8" ht="30" customHeight="1" x14ac:dyDescent="0.2">
      <c r="A14" s="14" t="s">
        <v>989</v>
      </c>
      <c r="B14" s="14" t="s">
        <v>990</v>
      </c>
      <c r="C14" s="15" t="s">
        <v>991</v>
      </c>
      <c r="D14" s="16" t="s">
        <v>992</v>
      </c>
      <c r="E14" s="22">
        <v>1</v>
      </c>
      <c r="F14" s="18" t="s">
        <v>12</v>
      </c>
      <c r="G14" s="16" t="s">
        <v>993</v>
      </c>
      <c r="H14" s="16" t="s">
        <v>994</v>
      </c>
    </row>
    <row r="15" spans="1:8" ht="30" customHeight="1" x14ac:dyDescent="0.2">
      <c r="A15" s="19" t="s">
        <v>989</v>
      </c>
      <c r="B15" s="19" t="s">
        <v>990</v>
      </c>
      <c r="C15" s="20" t="s">
        <v>995</v>
      </c>
      <c r="D15" s="21" t="s">
        <v>996</v>
      </c>
      <c r="E15" s="22">
        <v>1</v>
      </c>
      <c r="F15" s="18" t="s">
        <v>12</v>
      </c>
      <c r="G15" s="21" t="s">
        <v>997</v>
      </c>
      <c r="H15" s="21" t="s">
        <v>998</v>
      </c>
    </row>
    <row r="16" spans="1:8" ht="30" customHeight="1" x14ac:dyDescent="0.2">
      <c r="A16" s="14" t="s">
        <v>989</v>
      </c>
      <c r="B16" s="14" t="s">
        <v>990</v>
      </c>
      <c r="C16" s="15" t="s">
        <v>999</v>
      </c>
      <c r="D16" s="16" t="s">
        <v>1000</v>
      </c>
      <c r="E16" s="17">
        <v>2</v>
      </c>
      <c r="F16" s="18" t="s">
        <v>12</v>
      </c>
      <c r="G16" s="16" t="s">
        <v>1001</v>
      </c>
      <c r="H16" s="16" t="s">
        <v>1002</v>
      </c>
    </row>
    <row r="17" spans="1:8" ht="30" customHeight="1" x14ac:dyDescent="0.2">
      <c r="A17" s="19" t="s">
        <v>989</v>
      </c>
      <c r="B17" s="19" t="s">
        <v>990</v>
      </c>
      <c r="C17" s="20" t="s">
        <v>1003</v>
      </c>
      <c r="D17" s="21" t="s">
        <v>1004</v>
      </c>
      <c r="E17" s="23">
        <v>3</v>
      </c>
      <c r="F17" s="18" t="s">
        <v>12</v>
      </c>
      <c r="G17" s="21" t="s">
        <v>1005</v>
      </c>
      <c r="H17" s="21" t="s">
        <v>1006</v>
      </c>
    </row>
    <row r="18" spans="1:8" ht="30" customHeight="1" x14ac:dyDescent="0.2">
      <c r="A18" s="14" t="s">
        <v>989</v>
      </c>
      <c r="B18" s="14" t="s">
        <v>990</v>
      </c>
      <c r="C18" s="15" t="s">
        <v>1007</v>
      </c>
      <c r="D18" s="16" t="s">
        <v>1008</v>
      </c>
      <c r="E18" s="23">
        <v>3</v>
      </c>
      <c r="F18" s="18" t="s">
        <v>12</v>
      </c>
      <c r="G18" s="16" t="s">
        <v>1009</v>
      </c>
      <c r="H18" s="16" t="s">
        <v>1010</v>
      </c>
    </row>
    <row r="19" spans="1:8" ht="18" customHeight="1" x14ac:dyDescent="0.2">
      <c r="A19" s="13" t="s">
        <v>1011</v>
      </c>
      <c r="B19" s="13" t="s">
        <v>1012</v>
      </c>
      <c r="C19" s="13"/>
      <c r="D19" s="13"/>
      <c r="E19" s="13"/>
      <c r="F19" s="13"/>
      <c r="G19" s="13"/>
      <c r="H19" s="13"/>
    </row>
    <row r="20" spans="1:8" ht="30" customHeight="1" x14ac:dyDescent="0.2">
      <c r="A20" s="14" t="s">
        <v>1011</v>
      </c>
      <c r="B20" s="14" t="s">
        <v>1012</v>
      </c>
      <c r="C20" s="15" t="s">
        <v>1013</v>
      </c>
      <c r="D20" s="16" t="s">
        <v>1014</v>
      </c>
      <c r="E20" s="22">
        <v>1</v>
      </c>
      <c r="F20" s="18" t="s">
        <v>12</v>
      </c>
      <c r="G20" s="16" t="s">
        <v>1015</v>
      </c>
      <c r="H20" s="16" t="s">
        <v>1016</v>
      </c>
    </row>
    <row r="21" spans="1:8" ht="30" customHeight="1" x14ac:dyDescent="0.2">
      <c r="A21" s="19" t="s">
        <v>1011</v>
      </c>
      <c r="B21" s="19" t="s">
        <v>1012</v>
      </c>
      <c r="C21" s="20" t="s">
        <v>1017</v>
      </c>
      <c r="D21" s="21" t="s">
        <v>1018</v>
      </c>
      <c r="E21" s="17">
        <v>2</v>
      </c>
      <c r="F21" s="18" t="s">
        <v>12</v>
      </c>
      <c r="G21" s="21" t="s">
        <v>1019</v>
      </c>
      <c r="H21" s="21" t="s">
        <v>1020</v>
      </c>
    </row>
    <row r="22" spans="1:8" ht="30" customHeight="1" x14ac:dyDescent="0.2">
      <c r="A22" s="14" t="s">
        <v>1011</v>
      </c>
      <c r="B22" s="14" t="s">
        <v>1012</v>
      </c>
      <c r="C22" s="15" t="s">
        <v>1021</v>
      </c>
      <c r="D22" s="16" t="s">
        <v>1022</v>
      </c>
      <c r="E22" s="17">
        <v>2</v>
      </c>
      <c r="F22" s="18" t="s">
        <v>12</v>
      </c>
      <c r="G22" s="16" t="s">
        <v>1023</v>
      </c>
      <c r="H22" s="16" t="s">
        <v>1024</v>
      </c>
    </row>
    <row r="23" spans="1:8" ht="30" customHeight="1" x14ac:dyDescent="0.2">
      <c r="A23" s="19" t="s">
        <v>1011</v>
      </c>
      <c r="B23" s="19" t="s">
        <v>1012</v>
      </c>
      <c r="C23" s="20" t="s">
        <v>1025</v>
      </c>
      <c r="D23" s="21" t="s">
        <v>1026</v>
      </c>
      <c r="E23" s="17">
        <v>2</v>
      </c>
      <c r="F23" s="18" t="s">
        <v>100</v>
      </c>
      <c r="G23" s="21" t="s">
        <v>1027</v>
      </c>
      <c r="H23" s="21" t="s">
        <v>1028</v>
      </c>
    </row>
    <row r="24" spans="1:8" ht="18" customHeight="1" x14ac:dyDescent="0.2">
      <c r="A24" s="13" t="s">
        <v>1029</v>
      </c>
      <c r="B24" s="13" t="s">
        <v>1030</v>
      </c>
      <c r="C24" s="13"/>
      <c r="D24" s="13"/>
      <c r="E24" s="13"/>
      <c r="F24" s="13"/>
      <c r="G24" s="13"/>
      <c r="H24" s="13"/>
    </row>
    <row r="25" spans="1:8" ht="30" customHeight="1" x14ac:dyDescent="0.2">
      <c r="A25" s="14" t="s">
        <v>1029</v>
      </c>
      <c r="B25" s="14" t="s">
        <v>1030</v>
      </c>
      <c r="C25" s="15" t="s">
        <v>1031</v>
      </c>
      <c r="D25" s="16" t="s">
        <v>1032</v>
      </c>
      <c r="E25" s="17">
        <v>2</v>
      </c>
      <c r="F25" s="18" t="s">
        <v>12</v>
      </c>
      <c r="G25" s="16" t="s">
        <v>1033</v>
      </c>
      <c r="H25" s="16" t="s">
        <v>1034</v>
      </c>
    </row>
    <row r="26" spans="1:8" ht="30" customHeight="1" x14ac:dyDescent="0.2">
      <c r="A26" s="19" t="s">
        <v>1029</v>
      </c>
      <c r="B26" s="19" t="s">
        <v>1030</v>
      </c>
      <c r="C26" s="20" t="s">
        <v>1035</v>
      </c>
      <c r="D26" s="21" t="s">
        <v>1036</v>
      </c>
      <c r="E26" s="23">
        <v>3</v>
      </c>
      <c r="F26" s="18" t="s">
        <v>12</v>
      </c>
      <c r="G26" s="21" t="s">
        <v>1037</v>
      </c>
      <c r="H26" s="21" t="s">
        <v>1038</v>
      </c>
    </row>
    <row r="27" spans="1:8" ht="18" customHeight="1" x14ac:dyDescent="0.2">
      <c r="A27" s="13" t="s">
        <v>1039</v>
      </c>
      <c r="B27" s="13" t="s">
        <v>1040</v>
      </c>
      <c r="C27" s="13"/>
      <c r="D27" s="13"/>
      <c r="E27" s="13"/>
      <c r="F27" s="13"/>
      <c r="G27" s="13"/>
      <c r="H27" s="13"/>
    </row>
    <row r="28" spans="1:8" ht="30" customHeight="1" x14ac:dyDescent="0.2">
      <c r="A28" s="14" t="s">
        <v>1039</v>
      </c>
      <c r="B28" s="14" t="s">
        <v>1040</v>
      </c>
      <c r="C28" s="15" t="s">
        <v>1041</v>
      </c>
      <c r="D28" s="16" t="s">
        <v>1042</v>
      </c>
      <c r="E28" s="17">
        <v>2</v>
      </c>
      <c r="F28" s="18" t="s">
        <v>12</v>
      </c>
      <c r="G28" s="16" t="s">
        <v>1043</v>
      </c>
      <c r="H28" s="16" t="s">
        <v>1044</v>
      </c>
    </row>
    <row r="29" spans="1:8" ht="30" customHeight="1" x14ac:dyDescent="0.2">
      <c r="A29" s="19" t="s">
        <v>1039</v>
      </c>
      <c r="B29" s="19" t="s">
        <v>1040</v>
      </c>
      <c r="C29" s="20" t="s">
        <v>1045</v>
      </c>
      <c r="D29" s="21" t="s">
        <v>1046</v>
      </c>
      <c r="E29" s="23">
        <v>3</v>
      </c>
      <c r="F29" s="18" t="s">
        <v>12</v>
      </c>
      <c r="G29" s="21" t="s">
        <v>1047</v>
      </c>
      <c r="H29" s="21" t="s">
        <v>1048</v>
      </c>
    </row>
    <row r="30" spans="1:8" ht="18" customHeight="1" x14ac:dyDescent="0.2">
      <c r="A30" s="13" t="s">
        <v>1049</v>
      </c>
      <c r="B30" s="13" t="s">
        <v>1050</v>
      </c>
      <c r="C30" s="13"/>
      <c r="D30" s="13"/>
      <c r="E30" s="13"/>
      <c r="F30" s="13"/>
      <c r="G30" s="13"/>
      <c r="H30" s="13"/>
    </row>
    <row r="31" spans="1:8" ht="30" customHeight="1" x14ac:dyDescent="0.2">
      <c r="A31" s="14" t="s">
        <v>1049</v>
      </c>
      <c r="B31" s="14" t="s">
        <v>1050</v>
      </c>
      <c r="C31" s="15" t="s">
        <v>1051</v>
      </c>
      <c r="D31" s="16" t="s">
        <v>1052</v>
      </c>
      <c r="E31" s="23">
        <v>3</v>
      </c>
      <c r="F31" s="18" t="s">
        <v>23</v>
      </c>
      <c r="G31" s="16" t="s">
        <v>1053</v>
      </c>
      <c r="H31" s="16" t="s">
        <v>1054</v>
      </c>
    </row>
    <row r="32" spans="1:8" ht="30" customHeight="1" x14ac:dyDescent="0.2">
      <c r="A32" s="19" t="s">
        <v>1049</v>
      </c>
      <c r="B32" s="19" t="s">
        <v>1050</v>
      </c>
      <c r="C32" s="20" t="s">
        <v>1055</v>
      </c>
      <c r="D32" s="21" t="s">
        <v>1056</v>
      </c>
      <c r="E32" s="23">
        <v>3</v>
      </c>
      <c r="F32" s="18" t="s">
        <v>12</v>
      </c>
      <c r="G32" s="21" t="s">
        <v>1057</v>
      </c>
      <c r="H32" s="21" t="s">
        <v>1058</v>
      </c>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1059</v>
      </c>
      <c r="B2" s="13" t="s">
        <v>1060</v>
      </c>
      <c r="C2" s="13"/>
      <c r="D2" s="13"/>
      <c r="E2" s="13"/>
      <c r="F2" s="13"/>
      <c r="G2" s="13"/>
      <c r="H2" s="13"/>
    </row>
    <row r="3" spans="1:8" ht="30" customHeight="1" x14ac:dyDescent="0.2">
      <c r="A3" s="14" t="s">
        <v>1059</v>
      </c>
      <c r="B3" s="14" t="s">
        <v>1060</v>
      </c>
      <c r="C3" s="15" t="s">
        <v>1061</v>
      </c>
      <c r="D3" s="16" t="s">
        <v>1062</v>
      </c>
      <c r="E3" s="22">
        <v>1</v>
      </c>
      <c r="F3" s="18" t="s">
        <v>100</v>
      </c>
      <c r="G3" s="16" t="s">
        <v>1063</v>
      </c>
      <c r="H3" s="16" t="s">
        <v>1064</v>
      </c>
    </row>
    <row r="4" spans="1:8" ht="30" customHeight="1" x14ac:dyDescent="0.2">
      <c r="A4" s="19" t="s">
        <v>1059</v>
      </c>
      <c r="B4" s="19" t="s">
        <v>1060</v>
      </c>
      <c r="C4" s="20" t="s">
        <v>1065</v>
      </c>
      <c r="D4" s="21" t="s">
        <v>1066</v>
      </c>
      <c r="E4" s="17">
        <v>2</v>
      </c>
      <c r="F4" s="18" t="s">
        <v>100</v>
      </c>
      <c r="G4" s="21" t="s">
        <v>1067</v>
      </c>
      <c r="H4" s="21" t="s">
        <v>1068</v>
      </c>
    </row>
    <row r="5" spans="1:8" ht="30" customHeight="1" x14ac:dyDescent="0.2">
      <c r="A5" s="14" t="s">
        <v>1059</v>
      </c>
      <c r="B5" s="14" t="s">
        <v>1060</v>
      </c>
      <c r="C5" s="15" t="s">
        <v>1069</v>
      </c>
      <c r="D5" s="16" t="s">
        <v>1070</v>
      </c>
      <c r="E5" s="17">
        <v>2</v>
      </c>
      <c r="F5" s="18" t="s">
        <v>216</v>
      </c>
      <c r="G5" s="16" t="s">
        <v>1071</v>
      </c>
      <c r="H5" s="16" t="s">
        <v>1072</v>
      </c>
    </row>
    <row r="6" spans="1:8" ht="30" customHeight="1" x14ac:dyDescent="0.2">
      <c r="A6" s="19" t="s">
        <v>1059</v>
      </c>
      <c r="B6" s="19" t="s">
        <v>1060</v>
      </c>
      <c r="C6" s="20" t="s">
        <v>1073</v>
      </c>
      <c r="D6" s="21" t="s">
        <v>1074</v>
      </c>
      <c r="E6" s="23">
        <v>3</v>
      </c>
      <c r="F6" s="18" t="s">
        <v>100</v>
      </c>
      <c r="G6" s="21" t="s">
        <v>1075</v>
      </c>
      <c r="H6" s="21" t="s">
        <v>1076</v>
      </c>
    </row>
    <row r="7" spans="1:8" ht="30" customHeight="1" x14ac:dyDescent="0.2">
      <c r="A7" s="14" t="s">
        <v>1059</v>
      </c>
      <c r="B7" s="14" t="s">
        <v>1060</v>
      </c>
      <c r="C7" s="15" t="s">
        <v>1077</v>
      </c>
      <c r="D7" s="16" t="s">
        <v>1078</v>
      </c>
      <c r="E7" s="23">
        <v>3</v>
      </c>
      <c r="F7" s="18" t="s">
        <v>23</v>
      </c>
      <c r="G7" s="16" t="s">
        <v>1079</v>
      </c>
      <c r="H7" s="16" t="s">
        <v>33</v>
      </c>
    </row>
    <row r="8" spans="1:8" ht="18" customHeight="1" x14ac:dyDescent="0.2">
      <c r="A8" s="13" t="s">
        <v>1080</v>
      </c>
      <c r="B8" s="13" t="s">
        <v>1081</v>
      </c>
      <c r="C8" s="13"/>
      <c r="D8" s="13"/>
      <c r="E8" s="13"/>
      <c r="F8" s="13"/>
      <c r="G8" s="13"/>
      <c r="H8" s="13"/>
    </row>
    <row r="9" spans="1:8" ht="30" customHeight="1" x14ac:dyDescent="0.2">
      <c r="A9" s="14" t="s">
        <v>1080</v>
      </c>
      <c r="B9" s="14" t="s">
        <v>1081</v>
      </c>
      <c r="C9" s="15" t="s">
        <v>1082</v>
      </c>
      <c r="D9" s="16" t="s">
        <v>1083</v>
      </c>
      <c r="E9" s="22">
        <v>1</v>
      </c>
      <c r="F9" s="18" t="s">
        <v>100</v>
      </c>
      <c r="G9" s="16" t="s">
        <v>1084</v>
      </c>
      <c r="H9" s="16" t="s">
        <v>1085</v>
      </c>
    </row>
    <row r="10" spans="1:8" ht="30" customHeight="1" x14ac:dyDescent="0.2">
      <c r="A10" s="19" t="s">
        <v>1080</v>
      </c>
      <c r="B10" s="19" t="s">
        <v>1081</v>
      </c>
      <c r="C10" s="20" t="s">
        <v>1086</v>
      </c>
      <c r="D10" s="21" t="s">
        <v>1087</v>
      </c>
      <c r="E10" s="22">
        <v>1</v>
      </c>
      <c r="F10" s="18" t="s">
        <v>100</v>
      </c>
      <c r="G10" s="21" t="s">
        <v>1088</v>
      </c>
      <c r="H10" s="21" t="s">
        <v>1089</v>
      </c>
    </row>
    <row r="11" spans="1:8" ht="18" customHeight="1" x14ac:dyDescent="0.2">
      <c r="A11" s="13" t="s">
        <v>1090</v>
      </c>
      <c r="B11" s="13" t="s">
        <v>1091</v>
      </c>
      <c r="C11" s="13"/>
      <c r="D11" s="13"/>
      <c r="E11" s="13"/>
      <c r="F11" s="13"/>
      <c r="G11" s="13"/>
      <c r="H11" s="13"/>
    </row>
    <row r="12" spans="1:8" ht="30" customHeight="1" x14ac:dyDescent="0.2">
      <c r="A12" s="14" t="s">
        <v>1090</v>
      </c>
      <c r="B12" s="14" t="s">
        <v>1091</v>
      </c>
      <c r="C12" s="15" t="s">
        <v>1092</v>
      </c>
      <c r="D12" s="16" t="s">
        <v>1093</v>
      </c>
      <c r="E12" s="17">
        <v>2</v>
      </c>
      <c r="F12" s="18" t="s">
        <v>100</v>
      </c>
      <c r="G12" s="16" t="s">
        <v>1094</v>
      </c>
      <c r="H12" s="16" t="s">
        <v>1095</v>
      </c>
    </row>
    <row r="13" spans="1:8" ht="30" customHeight="1" x14ac:dyDescent="0.2">
      <c r="A13" s="19" t="s">
        <v>1090</v>
      </c>
      <c r="B13" s="19" t="s">
        <v>1091</v>
      </c>
      <c r="C13" s="20" t="s">
        <v>1096</v>
      </c>
      <c r="D13" s="21" t="s">
        <v>1097</v>
      </c>
      <c r="E13" s="17">
        <v>2</v>
      </c>
      <c r="F13" s="18" t="s">
        <v>100</v>
      </c>
      <c r="G13" s="21" t="s">
        <v>1098</v>
      </c>
      <c r="H13" s="21" t="s">
        <v>1099</v>
      </c>
    </row>
    <row r="14" spans="1:8" ht="30" customHeight="1" x14ac:dyDescent="0.2">
      <c r="A14" s="14" t="s">
        <v>1090</v>
      </c>
      <c r="B14" s="14" t="s">
        <v>1091</v>
      </c>
      <c r="C14" s="15" t="s">
        <v>1100</v>
      </c>
      <c r="D14" s="16" t="s">
        <v>1101</v>
      </c>
      <c r="E14" s="17">
        <v>2</v>
      </c>
      <c r="F14" s="18" t="s">
        <v>100</v>
      </c>
      <c r="G14" s="16" t="s">
        <v>1102</v>
      </c>
      <c r="H14" s="16" t="s">
        <v>1103</v>
      </c>
    </row>
    <row r="15" spans="1:8" ht="30" customHeight="1" x14ac:dyDescent="0.2">
      <c r="A15" s="19" t="s">
        <v>1090</v>
      </c>
      <c r="B15" s="19" t="s">
        <v>1091</v>
      </c>
      <c r="C15" s="20" t="s">
        <v>1104</v>
      </c>
      <c r="D15" s="21" t="s">
        <v>1105</v>
      </c>
      <c r="E15" s="17">
        <v>2</v>
      </c>
      <c r="F15" s="18" t="s">
        <v>100</v>
      </c>
      <c r="G15" s="21" t="s">
        <v>1106</v>
      </c>
      <c r="H15" s="21" t="s">
        <v>1107</v>
      </c>
    </row>
    <row r="16" spans="1:8" ht="30" customHeight="1" x14ac:dyDescent="0.2">
      <c r="A16" s="14" t="s">
        <v>1090</v>
      </c>
      <c r="B16" s="14" t="s">
        <v>1091</v>
      </c>
      <c r="C16" s="15" t="s">
        <v>1108</v>
      </c>
      <c r="D16" s="16" t="s">
        <v>1109</v>
      </c>
      <c r="E16" s="23">
        <v>3</v>
      </c>
      <c r="F16" s="18" t="s">
        <v>100</v>
      </c>
      <c r="G16" s="16" t="s">
        <v>1110</v>
      </c>
      <c r="H16" s="16" t="s">
        <v>1111</v>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1112</v>
      </c>
      <c r="B2" s="13" t="s">
        <v>1113</v>
      </c>
      <c r="C2" s="13"/>
      <c r="D2" s="13"/>
      <c r="E2" s="13"/>
      <c r="F2" s="13"/>
      <c r="G2" s="13"/>
      <c r="H2" s="13"/>
    </row>
    <row r="3" spans="1:8" ht="30" customHeight="1" x14ac:dyDescent="0.2">
      <c r="A3" s="14" t="s">
        <v>1112</v>
      </c>
      <c r="B3" s="14" t="s">
        <v>1113</v>
      </c>
      <c r="C3" s="15" t="s">
        <v>1114</v>
      </c>
      <c r="D3" s="16" t="s">
        <v>1115</v>
      </c>
      <c r="E3" s="17">
        <v>2</v>
      </c>
      <c r="F3" s="18" t="s">
        <v>100</v>
      </c>
      <c r="G3" s="16" t="s">
        <v>1116</v>
      </c>
      <c r="H3" s="16" t="s">
        <v>1117</v>
      </c>
    </row>
    <row r="4" spans="1:8" ht="30" customHeight="1" x14ac:dyDescent="0.2">
      <c r="A4" s="19" t="s">
        <v>1112</v>
      </c>
      <c r="B4" s="19" t="s">
        <v>1113</v>
      </c>
      <c r="C4" s="20" t="s">
        <v>1118</v>
      </c>
      <c r="D4" s="21" t="s">
        <v>1119</v>
      </c>
      <c r="E4" s="23">
        <v>3</v>
      </c>
      <c r="F4" s="18" t="s">
        <v>23</v>
      </c>
      <c r="G4" s="21" t="s">
        <v>1120</v>
      </c>
      <c r="H4" s="21" t="s">
        <v>1121</v>
      </c>
    </row>
    <row r="5" spans="1:8" ht="30" customHeight="1" x14ac:dyDescent="0.2">
      <c r="A5" s="14" t="s">
        <v>1112</v>
      </c>
      <c r="B5" s="14" t="s">
        <v>1113</v>
      </c>
      <c r="C5" s="15" t="s">
        <v>1122</v>
      </c>
      <c r="D5" s="16" t="s">
        <v>1123</v>
      </c>
      <c r="E5" s="23">
        <v>3</v>
      </c>
      <c r="F5" s="18" t="s">
        <v>100</v>
      </c>
      <c r="G5" s="16" t="s">
        <v>1124</v>
      </c>
      <c r="H5" s="16" t="s">
        <v>1125</v>
      </c>
    </row>
    <row r="6" spans="1:8" ht="30" customHeight="1" x14ac:dyDescent="0.2">
      <c r="A6" s="19" t="s">
        <v>1112</v>
      </c>
      <c r="B6" s="19" t="s">
        <v>1113</v>
      </c>
      <c r="C6" s="20" t="s">
        <v>1126</v>
      </c>
      <c r="D6" s="21" t="s">
        <v>1127</v>
      </c>
      <c r="E6" s="23">
        <v>3</v>
      </c>
      <c r="F6" s="18" t="s">
        <v>100</v>
      </c>
      <c r="G6" s="21" t="s">
        <v>1128</v>
      </c>
      <c r="H6" s="21" t="s">
        <v>1129</v>
      </c>
    </row>
    <row r="7" spans="1:8" ht="18" customHeight="1" x14ac:dyDescent="0.2">
      <c r="A7" s="13" t="s">
        <v>1130</v>
      </c>
      <c r="B7" s="13" t="s">
        <v>1131</v>
      </c>
      <c r="C7" s="13"/>
      <c r="D7" s="13"/>
      <c r="E7" s="13"/>
      <c r="F7" s="13"/>
      <c r="G7" s="13"/>
      <c r="H7" s="13"/>
    </row>
    <row r="8" spans="1:8" ht="30" customHeight="1" x14ac:dyDescent="0.2">
      <c r="A8" s="14" t="s">
        <v>1130</v>
      </c>
      <c r="B8" s="14" t="s">
        <v>1131</v>
      </c>
      <c r="C8" s="15" t="s">
        <v>1132</v>
      </c>
      <c r="D8" s="16" t="s">
        <v>1133</v>
      </c>
      <c r="E8" s="17">
        <v>2</v>
      </c>
      <c r="F8" s="18" t="s">
        <v>216</v>
      </c>
      <c r="G8" s="16" t="s">
        <v>1134</v>
      </c>
      <c r="H8" s="16" t="s">
        <v>1135</v>
      </c>
    </row>
    <row r="9" spans="1:8" ht="30" customHeight="1" x14ac:dyDescent="0.2">
      <c r="A9" s="19" t="s">
        <v>1130</v>
      </c>
      <c r="B9" s="19" t="s">
        <v>1131</v>
      </c>
      <c r="C9" s="20" t="s">
        <v>1136</v>
      </c>
      <c r="D9" s="21" t="s">
        <v>1137</v>
      </c>
      <c r="E9" s="17">
        <v>2</v>
      </c>
      <c r="F9" s="18" t="s">
        <v>12</v>
      </c>
      <c r="G9" s="21" t="s">
        <v>1138</v>
      </c>
      <c r="H9" s="21" t="s">
        <v>1139</v>
      </c>
    </row>
    <row r="10" spans="1:8" ht="30" customHeight="1" x14ac:dyDescent="0.2">
      <c r="A10" s="14" t="s">
        <v>1130</v>
      </c>
      <c r="B10" s="14" t="s">
        <v>1131</v>
      </c>
      <c r="C10" s="15" t="s">
        <v>1140</v>
      </c>
      <c r="D10" s="16" t="s">
        <v>1141</v>
      </c>
      <c r="E10" s="17">
        <v>2</v>
      </c>
      <c r="F10" s="18" t="s">
        <v>12</v>
      </c>
      <c r="G10" s="16" t="s">
        <v>1142</v>
      </c>
      <c r="H10" s="16" t="s">
        <v>1143</v>
      </c>
    </row>
    <row r="11" spans="1:8" ht="30" customHeight="1" x14ac:dyDescent="0.2">
      <c r="A11" s="19" t="s">
        <v>1130</v>
      </c>
      <c r="B11" s="19" t="s">
        <v>1131</v>
      </c>
      <c r="C11" s="20" t="s">
        <v>1144</v>
      </c>
      <c r="D11" s="21" t="s">
        <v>1145</v>
      </c>
      <c r="E11" s="17">
        <v>2</v>
      </c>
      <c r="F11" s="18" t="s">
        <v>100</v>
      </c>
      <c r="G11" s="21" t="s">
        <v>1146</v>
      </c>
      <c r="H11" s="21" t="s">
        <v>1147</v>
      </c>
    </row>
    <row r="12" spans="1:8" ht="30" customHeight="1" x14ac:dyDescent="0.2">
      <c r="A12" s="14" t="s">
        <v>1130</v>
      </c>
      <c r="B12" s="14" t="s">
        <v>1131</v>
      </c>
      <c r="C12" s="15" t="s">
        <v>1148</v>
      </c>
      <c r="D12" s="16" t="s">
        <v>1149</v>
      </c>
      <c r="E12" s="17">
        <v>2</v>
      </c>
      <c r="F12" s="18" t="s">
        <v>100</v>
      </c>
      <c r="G12" s="16" t="s">
        <v>1150</v>
      </c>
      <c r="H12" s="16" t="s">
        <v>1151</v>
      </c>
    </row>
    <row r="13" spans="1:8" ht="30" customHeight="1" x14ac:dyDescent="0.2">
      <c r="A13" s="19" t="s">
        <v>1130</v>
      </c>
      <c r="B13" s="19" t="s">
        <v>1131</v>
      </c>
      <c r="C13" s="20" t="s">
        <v>1152</v>
      </c>
      <c r="D13" s="21" t="s">
        <v>1153</v>
      </c>
      <c r="E13" s="23">
        <v>3</v>
      </c>
      <c r="F13" s="18" t="s">
        <v>23</v>
      </c>
      <c r="G13" s="21" t="s">
        <v>1154</v>
      </c>
      <c r="H13" s="21" t="s">
        <v>33</v>
      </c>
    </row>
    <row r="14" spans="1:8" ht="18" customHeight="1" x14ac:dyDescent="0.2">
      <c r="A14" s="13" t="s">
        <v>1155</v>
      </c>
      <c r="B14" s="13" t="s">
        <v>1156</v>
      </c>
      <c r="C14" s="13"/>
      <c r="D14" s="13"/>
      <c r="E14" s="13"/>
      <c r="F14" s="13"/>
      <c r="G14" s="13"/>
      <c r="H14" s="13"/>
    </row>
    <row r="15" spans="1:8" ht="30" customHeight="1" x14ac:dyDescent="0.2">
      <c r="A15" s="14" t="s">
        <v>1155</v>
      </c>
      <c r="B15" s="14" t="s">
        <v>1156</v>
      </c>
      <c r="C15" s="15" t="s">
        <v>1157</v>
      </c>
      <c r="D15" s="16" t="s">
        <v>1158</v>
      </c>
      <c r="E15" s="17">
        <v>2</v>
      </c>
      <c r="F15" s="18" t="s">
        <v>216</v>
      </c>
      <c r="G15" s="16" t="s">
        <v>1159</v>
      </c>
      <c r="H15" s="16" t="s">
        <v>1160</v>
      </c>
    </row>
    <row r="16" spans="1:8" ht="30" customHeight="1" x14ac:dyDescent="0.2">
      <c r="A16" s="19" t="s">
        <v>1155</v>
      </c>
      <c r="B16" s="19" t="s">
        <v>1156</v>
      </c>
      <c r="C16" s="20" t="s">
        <v>1161</v>
      </c>
      <c r="D16" s="21" t="s">
        <v>1162</v>
      </c>
      <c r="E16" s="17">
        <v>2</v>
      </c>
      <c r="F16" s="18" t="s">
        <v>216</v>
      </c>
      <c r="G16" s="21" t="s">
        <v>1163</v>
      </c>
      <c r="H16" s="21" t="s">
        <v>1164</v>
      </c>
    </row>
    <row r="17" spans="1:8" ht="30" customHeight="1" x14ac:dyDescent="0.2">
      <c r="A17" s="14" t="s">
        <v>1155</v>
      </c>
      <c r="B17" s="14" t="s">
        <v>1156</v>
      </c>
      <c r="C17" s="15" t="s">
        <v>1165</v>
      </c>
      <c r="D17" s="16" t="s">
        <v>1166</v>
      </c>
      <c r="E17" s="23">
        <v>3</v>
      </c>
      <c r="F17" s="18" t="s">
        <v>100</v>
      </c>
      <c r="G17" s="16" t="s">
        <v>1167</v>
      </c>
      <c r="H17" s="16" t="s">
        <v>1168</v>
      </c>
    </row>
    <row r="18" spans="1:8" ht="30" customHeight="1" x14ac:dyDescent="0.2">
      <c r="A18" s="19" t="s">
        <v>1155</v>
      </c>
      <c r="B18" s="19" t="s">
        <v>1156</v>
      </c>
      <c r="C18" s="20" t="s">
        <v>1169</v>
      </c>
      <c r="D18" s="21" t="s">
        <v>1170</v>
      </c>
      <c r="E18" s="23">
        <v>3</v>
      </c>
      <c r="F18" s="18" t="s">
        <v>100</v>
      </c>
      <c r="G18" s="21" t="s">
        <v>1171</v>
      </c>
      <c r="H18" s="21" t="s">
        <v>1172</v>
      </c>
    </row>
    <row r="19" spans="1:8" ht="18" customHeight="1" x14ac:dyDescent="0.2">
      <c r="A19" s="13" t="s">
        <v>1173</v>
      </c>
      <c r="B19" s="13" t="s">
        <v>1174</v>
      </c>
      <c r="C19" s="13"/>
      <c r="D19" s="13"/>
      <c r="E19" s="13"/>
      <c r="F19" s="13"/>
      <c r="G19" s="13"/>
      <c r="H19" s="13"/>
    </row>
    <row r="20" spans="1:8" ht="30" customHeight="1" x14ac:dyDescent="0.2">
      <c r="A20" s="14" t="s">
        <v>1173</v>
      </c>
      <c r="B20" s="14" t="s">
        <v>1174</v>
      </c>
      <c r="C20" s="15" t="s">
        <v>1175</v>
      </c>
      <c r="D20" s="16" t="s">
        <v>1176</v>
      </c>
      <c r="E20" s="22">
        <v>1</v>
      </c>
      <c r="F20" s="18" t="s">
        <v>12</v>
      </c>
      <c r="G20" s="16" t="s">
        <v>1177</v>
      </c>
      <c r="H20" s="16" t="s">
        <v>1178</v>
      </c>
    </row>
    <row r="21" spans="1:8" ht="30" customHeight="1" x14ac:dyDescent="0.2">
      <c r="A21" s="19" t="s">
        <v>1173</v>
      </c>
      <c r="B21" s="19" t="s">
        <v>1174</v>
      </c>
      <c r="C21" s="20" t="s">
        <v>1179</v>
      </c>
      <c r="D21" s="21" t="s">
        <v>1180</v>
      </c>
      <c r="E21" s="17">
        <v>2</v>
      </c>
      <c r="F21" s="18" t="s">
        <v>12</v>
      </c>
      <c r="G21" s="21" t="s">
        <v>1181</v>
      </c>
      <c r="H21" s="21" t="s">
        <v>1182</v>
      </c>
    </row>
    <row r="22" spans="1:8" ht="30" customHeight="1" x14ac:dyDescent="0.2">
      <c r="A22" s="14" t="s">
        <v>1173</v>
      </c>
      <c r="B22" s="14" t="s">
        <v>1174</v>
      </c>
      <c r="C22" s="15" t="s">
        <v>1183</v>
      </c>
      <c r="D22" s="16" t="s">
        <v>1184</v>
      </c>
      <c r="E22" s="17">
        <v>2</v>
      </c>
      <c r="F22" s="18" t="s">
        <v>100</v>
      </c>
      <c r="G22" s="16" t="s">
        <v>1185</v>
      </c>
      <c r="H22" s="16" t="s">
        <v>1186</v>
      </c>
    </row>
    <row r="23" spans="1:8" ht="30" customHeight="1" x14ac:dyDescent="0.2">
      <c r="A23" s="19" t="s">
        <v>1173</v>
      </c>
      <c r="B23" s="19" t="s">
        <v>1174</v>
      </c>
      <c r="C23" s="20" t="s">
        <v>1187</v>
      </c>
      <c r="D23" s="21" t="s">
        <v>1188</v>
      </c>
      <c r="E23" s="17">
        <v>2</v>
      </c>
      <c r="F23" s="18" t="s">
        <v>12</v>
      </c>
      <c r="G23" s="21" t="s">
        <v>1189</v>
      </c>
      <c r="H23" s="21" t="s">
        <v>1190</v>
      </c>
    </row>
    <row r="24" spans="1:8" ht="30" customHeight="1" x14ac:dyDescent="0.2">
      <c r="A24" s="14" t="s">
        <v>1173</v>
      </c>
      <c r="B24" s="14" t="s">
        <v>1174</v>
      </c>
      <c r="C24" s="15" t="s">
        <v>1191</v>
      </c>
      <c r="D24" s="16" t="s">
        <v>1192</v>
      </c>
      <c r="E24" s="17">
        <v>2</v>
      </c>
      <c r="F24" s="18" t="s">
        <v>12</v>
      </c>
      <c r="G24" s="16" t="s">
        <v>1193</v>
      </c>
      <c r="H24" s="16" t="s">
        <v>1194</v>
      </c>
    </row>
    <row r="25" spans="1:8" ht="30" customHeight="1" x14ac:dyDescent="0.2">
      <c r="A25" s="19" t="s">
        <v>1173</v>
      </c>
      <c r="B25" s="19" t="s">
        <v>1174</v>
      </c>
      <c r="C25" s="20" t="s">
        <v>1195</v>
      </c>
      <c r="D25" s="21" t="s">
        <v>1196</v>
      </c>
      <c r="E25" s="23">
        <v>3</v>
      </c>
      <c r="F25" s="18" t="s">
        <v>100</v>
      </c>
      <c r="G25" s="21" t="s">
        <v>1197</v>
      </c>
      <c r="H25" s="21" t="s">
        <v>1198</v>
      </c>
    </row>
    <row r="26" spans="1:8" ht="30" customHeight="1" x14ac:dyDescent="0.2">
      <c r="A26" s="14" t="s">
        <v>1173</v>
      </c>
      <c r="B26" s="14" t="s">
        <v>1174</v>
      </c>
      <c r="C26" s="15" t="s">
        <v>1199</v>
      </c>
      <c r="D26" s="16" t="s">
        <v>1200</v>
      </c>
      <c r="E26" s="23">
        <v>3</v>
      </c>
      <c r="F26" s="18" t="s">
        <v>100</v>
      </c>
      <c r="G26" s="16" t="s">
        <v>1201</v>
      </c>
      <c r="H26" s="16" t="s">
        <v>1202</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1203</v>
      </c>
      <c r="B2" s="13" t="s">
        <v>1204</v>
      </c>
      <c r="C2" s="13"/>
      <c r="D2" s="13"/>
      <c r="E2" s="13"/>
      <c r="F2" s="13"/>
      <c r="G2" s="13"/>
      <c r="H2" s="13"/>
    </row>
    <row r="3" spans="1:8" ht="30" customHeight="1" x14ac:dyDescent="0.2">
      <c r="A3" s="14" t="s">
        <v>1203</v>
      </c>
      <c r="B3" s="14" t="s">
        <v>1204</v>
      </c>
      <c r="C3" s="15" t="s">
        <v>1205</v>
      </c>
      <c r="D3" s="16" t="s">
        <v>1206</v>
      </c>
      <c r="E3" s="17">
        <v>2</v>
      </c>
      <c r="F3" s="18" t="s">
        <v>12</v>
      </c>
      <c r="G3" s="16" t="s">
        <v>1207</v>
      </c>
      <c r="H3" s="16" t="s">
        <v>1208</v>
      </c>
    </row>
    <row r="4" spans="1:8" ht="30" customHeight="1" x14ac:dyDescent="0.2">
      <c r="A4" s="19" t="s">
        <v>1203</v>
      </c>
      <c r="B4" s="19" t="s">
        <v>1204</v>
      </c>
      <c r="C4" s="20" t="s">
        <v>1209</v>
      </c>
      <c r="D4" s="21" t="s">
        <v>1210</v>
      </c>
      <c r="E4" s="17">
        <v>2</v>
      </c>
      <c r="F4" s="18" t="s">
        <v>100</v>
      </c>
      <c r="G4" s="21" t="s">
        <v>1211</v>
      </c>
      <c r="H4" s="21" t="s">
        <v>1212</v>
      </c>
    </row>
    <row r="5" spans="1:8" ht="18" customHeight="1" x14ac:dyDescent="0.2">
      <c r="A5" s="13" t="s">
        <v>1213</v>
      </c>
      <c r="B5" s="13" t="s">
        <v>1214</v>
      </c>
      <c r="C5" s="13"/>
      <c r="D5" s="13"/>
      <c r="E5" s="13"/>
      <c r="F5" s="13"/>
      <c r="G5" s="13"/>
      <c r="H5" s="13"/>
    </row>
    <row r="6" spans="1:8" ht="30" customHeight="1" x14ac:dyDescent="0.2">
      <c r="A6" s="14" t="s">
        <v>1213</v>
      </c>
      <c r="B6" s="14" t="s">
        <v>1214</v>
      </c>
      <c r="C6" s="15" t="s">
        <v>1215</v>
      </c>
      <c r="D6" s="16" t="s">
        <v>1216</v>
      </c>
      <c r="E6" s="22">
        <v>1</v>
      </c>
      <c r="F6" s="18" t="s">
        <v>12</v>
      </c>
      <c r="G6" s="16" t="s">
        <v>1217</v>
      </c>
      <c r="H6" s="16" t="s">
        <v>1218</v>
      </c>
    </row>
    <row r="7" spans="1:8" ht="30" customHeight="1" x14ac:dyDescent="0.2">
      <c r="A7" s="19" t="s">
        <v>1213</v>
      </c>
      <c r="B7" s="19" t="s">
        <v>1214</v>
      </c>
      <c r="C7" s="20" t="s">
        <v>1219</v>
      </c>
      <c r="D7" s="21" t="s">
        <v>1220</v>
      </c>
      <c r="E7" s="17">
        <v>2</v>
      </c>
      <c r="F7" s="18" t="s">
        <v>12</v>
      </c>
      <c r="G7" s="21" t="s">
        <v>1221</v>
      </c>
      <c r="H7" s="21" t="s">
        <v>1222</v>
      </c>
    </row>
    <row r="8" spans="1:8" ht="30" customHeight="1" x14ac:dyDescent="0.2">
      <c r="A8" s="14" t="s">
        <v>1213</v>
      </c>
      <c r="B8" s="14" t="s">
        <v>1214</v>
      </c>
      <c r="C8" s="15" t="s">
        <v>1223</v>
      </c>
      <c r="D8" s="16" t="s">
        <v>1224</v>
      </c>
      <c r="E8" s="17">
        <v>2</v>
      </c>
      <c r="F8" s="18" t="s">
        <v>12</v>
      </c>
      <c r="G8" s="16" t="s">
        <v>1225</v>
      </c>
      <c r="H8" s="16" t="s">
        <v>1226</v>
      </c>
    </row>
    <row r="9" spans="1:8" ht="30" customHeight="1" x14ac:dyDescent="0.2">
      <c r="A9" s="19" t="s">
        <v>1213</v>
      </c>
      <c r="B9" s="19" t="s">
        <v>1214</v>
      </c>
      <c r="C9" s="20" t="s">
        <v>1227</v>
      </c>
      <c r="D9" s="21" t="s">
        <v>1228</v>
      </c>
      <c r="E9" s="17">
        <v>2</v>
      </c>
      <c r="F9" s="18" t="s">
        <v>12</v>
      </c>
      <c r="G9" s="21" t="s">
        <v>1229</v>
      </c>
      <c r="H9" s="21" t="s">
        <v>1230</v>
      </c>
    </row>
    <row r="10" spans="1:8" ht="30" customHeight="1" x14ac:dyDescent="0.2">
      <c r="A10" s="14" t="s">
        <v>1213</v>
      </c>
      <c r="B10" s="14" t="s">
        <v>1214</v>
      </c>
      <c r="C10" s="15" t="s">
        <v>1231</v>
      </c>
      <c r="D10" s="16" t="s">
        <v>1232</v>
      </c>
      <c r="E10" s="23">
        <v>3</v>
      </c>
      <c r="F10" s="18" t="s">
        <v>100</v>
      </c>
      <c r="G10" s="16" t="s">
        <v>1233</v>
      </c>
      <c r="H10" s="16" t="s">
        <v>1234</v>
      </c>
    </row>
    <row r="11" spans="1:8" ht="30" customHeight="1" x14ac:dyDescent="0.2">
      <c r="A11" s="19" t="s">
        <v>1213</v>
      </c>
      <c r="B11" s="19" t="s">
        <v>1214</v>
      </c>
      <c r="C11" s="20" t="s">
        <v>1235</v>
      </c>
      <c r="D11" s="21" t="s">
        <v>1236</v>
      </c>
      <c r="E11" s="23">
        <v>3</v>
      </c>
      <c r="F11" s="18" t="s">
        <v>12</v>
      </c>
      <c r="G11" s="21" t="s">
        <v>1237</v>
      </c>
      <c r="H11" s="21" t="s">
        <v>732</v>
      </c>
    </row>
    <row r="12" spans="1:8" ht="30" customHeight="1" x14ac:dyDescent="0.2">
      <c r="A12" s="14" t="s">
        <v>1213</v>
      </c>
      <c r="B12" s="14" t="s">
        <v>1214</v>
      </c>
      <c r="C12" s="15" t="s">
        <v>1238</v>
      </c>
      <c r="D12" s="16" t="s">
        <v>1239</v>
      </c>
      <c r="E12" s="23">
        <v>3</v>
      </c>
      <c r="F12" s="18" t="s">
        <v>216</v>
      </c>
      <c r="G12" s="16" t="s">
        <v>1240</v>
      </c>
      <c r="H12" s="16" t="s">
        <v>1241</v>
      </c>
    </row>
    <row r="13" spans="1:8" ht="30" customHeight="1" x14ac:dyDescent="0.2">
      <c r="A13" s="19" t="s">
        <v>1213</v>
      </c>
      <c r="B13" s="19" t="s">
        <v>1214</v>
      </c>
      <c r="C13" s="20" t="s">
        <v>1242</v>
      </c>
      <c r="D13" s="21" t="s">
        <v>1243</v>
      </c>
      <c r="E13" s="23">
        <v>3</v>
      </c>
      <c r="F13" s="18" t="s">
        <v>12</v>
      </c>
      <c r="G13" s="21" t="s">
        <v>1244</v>
      </c>
      <c r="H13" s="21" t="s">
        <v>1245</v>
      </c>
    </row>
    <row r="14" spans="1:8" ht="18" customHeight="1" x14ac:dyDescent="0.2">
      <c r="A14" s="13" t="s">
        <v>1246</v>
      </c>
      <c r="B14" s="13" t="s">
        <v>1247</v>
      </c>
      <c r="C14" s="13"/>
      <c r="D14" s="13"/>
      <c r="E14" s="13"/>
      <c r="F14" s="13"/>
      <c r="G14" s="13"/>
      <c r="H14" s="13"/>
    </row>
    <row r="15" spans="1:8" ht="30" customHeight="1" x14ac:dyDescent="0.2">
      <c r="A15" s="14" t="s">
        <v>1246</v>
      </c>
      <c r="B15" s="14" t="s">
        <v>1247</v>
      </c>
      <c r="C15" s="15" t="s">
        <v>1248</v>
      </c>
      <c r="D15" s="16" t="s">
        <v>1249</v>
      </c>
      <c r="E15" s="22">
        <v>1</v>
      </c>
      <c r="F15" s="18" t="s">
        <v>23</v>
      </c>
      <c r="G15" s="16" t="s">
        <v>1250</v>
      </c>
      <c r="H15" s="16" t="s">
        <v>33</v>
      </c>
    </row>
    <row r="16" spans="1:8" ht="30" customHeight="1" x14ac:dyDescent="0.2">
      <c r="A16" s="19" t="s">
        <v>1246</v>
      </c>
      <c r="B16" s="19" t="s">
        <v>1247</v>
      </c>
      <c r="C16" s="20" t="s">
        <v>1251</v>
      </c>
      <c r="D16" s="21" t="s">
        <v>1252</v>
      </c>
      <c r="E16" s="17">
        <v>2</v>
      </c>
      <c r="F16" s="18" t="s">
        <v>12</v>
      </c>
      <c r="G16" s="21" t="s">
        <v>1253</v>
      </c>
      <c r="H16" s="21" t="s">
        <v>1254</v>
      </c>
    </row>
    <row r="17" spans="1:8" ht="30" customHeight="1" x14ac:dyDescent="0.2">
      <c r="A17" s="14" t="s">
        <v>1246</v>
      </c>
      <c r="B17" s="14" t="s">
        <v>1247</v>
      </c>
      <c r="C17" s="15" t="s">
        <v>1255</v>
      </c>
      <c r="D17" s="16" t="s">
        <v>1256</v>
      </c>
      <c r="E17" s="17">
        <v>2</v>
      </c>
      <c r="F17" s="18" t="s">
        <v>12</v>
      </c>
      <c r="G17" s="16" t="s">
        <v>1257</v>
      </c>
      <c r="H17" s="16" t="s">
        <v>1258</v>
      </c>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130" zoomScaleNormal="130"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1259</v>
      </c>
      <c r="B2" s="13" t="s">
        <v>1260</v>
      </c>
      <c r="C2" s="13"/>
      <c r="D2" s="13"/>
      <c r="E2" s="13"/>
      <c r="F2" s="13"/>
      <c r="G2" s="13"/>
      <c r="H2" s="13"/>
    </row>
    <row r="3" spans="1:8" ht="30" customHeight="1" x14ac:dyDescent="0.2">
      <c r="A3" s="14" t="s">
        <v>1259</v>
      </c>
      <c r="B3" s="14" t="s">
        <v>1260</v>
      </c>
      <c r="C3" s="15" t="s">
        <v>1261</v>
      </c>
      <c r="D3" s="16" t="s">
        <v>1262</v>
      </c>
      <c r="E3" s="22">
        <v>1</v>
      </c>
      <c r="F3" s="18" t="s">
        <v>100</v>
      </c>
      <c r="G3" s="16" t="s">
        <v>1263</v>
      </c>
      <c r="H3" s="16" t="s">
        <v>1264</v>
      </c>
    </row>
    <row r="4" spans="1:8" ht="30" customHeight="1" x14ac:dyDescent="0.2">
      <c r="A4" s="19" t="s">
        <v>1259</v>
      </c>
      <c r="B4" s="19" t="s">
        <v>1260</v>
      </c>
      <c r="C4" s="20" t="s">
        <v>1265</v>
      </c>
      <c r="D4" s="21" t="s">
        <v>1266</v>
      </c>
      <c r="E4" s="17">
        <v>2</v>
      </c>
      <c r="F4" s="18" t="s">
        <v>12</v>
      </c>
      <c r="G4" s="21" t="s">
        <v>1267</v>
      </c>
      <c r="H4" s="21" t="s">
        <v>1268</v>
      </c>
    </row>
    <row r="5" spans="1:8" ht="30" customHeight="1" x14ac:dyDescent="0.2">
      <c r="A5" s="14" t="s">
        <v>1259</v>
      </c>
      <c r="B5" s="14" t="s">
        <v>1260</v>
      </c>
      <c r="C5" s="15" t="s">
        <v>1269</v>
      </c>
      <c r="D5" s="16" t="s">
        <v>1270</v>
      </c>
      <c r="E5" s="17">
        <v>2</v>
      </c>
      <c r="F5" s="18" t="s">
        <v>100</v>
      </c>
      <c r="G5" s="16" t="s">
        <v>1271</v>
      </c>
      <c r="H5" s="16" t="s">
        <v>1272</v>
      </c>
    </row>
    <row r="6" spans="1:8" ht="30" customHeight="1" x14ac:dyDescent="0.2">
      <c r="A6" s="19" t="s">
        <v>1259</v>
      </c>
      <c r="B6" s="19" t="s">
        <v>1260</v>
      </c>
      <c r="C6" s="20" t="s">
        <v>1273</v>
      </c>
      <c r="D6" s="21" t="s">
        <v>1274</v>
      </c>
      <c r="E6" s="23">
        <v>3</v>
      </c>
      <c r="F6" s="18" t="s">
        <v>100</v>
      </c>
      <c r="G6" s="21" t="s">
        <v>1275</v>
      </c>
      <c r="H6" s="21" t="s">
        <v>1276</v>
      </c>
    </row>
    <row r="7" spans="1:8" ht="30" customHeight="1" x14ac:dyDescent="0.2">
      <c r="A7" s="14" t="s">
        <v>1259</v>
      </c>
      <c r="B7" s="14" t="s">
        <v>1260</v>
      </c>
      <c r="C7" s="15" t="s">
        <v>1277</v>
      </c>
      <c r="D7" s="16" t="s">
        <v>1278</v>
      </c>
      <c r="E7" s="23">
        <v>3</v>
      </c>
      <c r="F7" s="18" t="s">
        <v>100</v>
      </c>
      <c r="G7" s="16" t="s">
        <v>1279</v>
      </c>
      <c r="H7" s="16" t="s">
        <v>1280</v>
      </c>
    </row>
    <row r="8" spans="1:8" ht="18" customHeight="1" x14ac:dyDescent="0.2">
      <c r="A8" s="13" t="s">
        <v>1281</v>
      </c>
      <c r="B8" s="13" t="s">
        <v>1282</v>
      </c>
      <c r="C8" s="13"/>
      <c r="D8" s="13"/>
      <c r="E8" s="13"/>
      <c r="F8" s="13"/>
      <c r="G8" s="13"/>
      <c r="H8" s="13"/>
    </row>
    <row r="9" spans="1:8" ht="30" customHeight="1" x14ac:dyDescent="0.2">
      <c r="A9" s="14" t="s">
        <v>1281</v>
      </c>
      <c r="B9" s="14" t="s">
        <v>1282</v>
      </c>
      <c r="C9" s="15" t="s">
        <v>1283</v>
      </c>
      <c r="D9" s="16" t="s">
        <v>1284</v>
      </c>
      <c r="E9" s="22">
        <v>1</v>
      </c>
      <c r="F9" s="18" t="s">
        <v>12</v>
      </c>
      <c r="G9" s="16" t="s">
        <v>1285</v>
      </c>
      <c r="H9" s="16" t="s">
        <v>1286</v>
      </c>
    </row>
    <row r="10" spans="1:8" ht="30" customHeight="1" x14ac:dyDescent="0.2">
      <c r="A10" s="19" t="s">
        <v>1281</v>
      </c>
      <c r="B10" s="19" t="s">
        <v>1282</v>
      </c>
      <c r="C10" s="20" t="s">
        <v>1287</v>
      </c>
      <c r="D10" s="21" t="s">
        <v>1288</v>
      </c>
      <c r="E10" s="17">
        <v>2</v>
      </c>
      <c r="F10" s="18" t="s">
        <v>12</v>
      </c>
      <c r="G10" s="21" t="s">
        <v>1289</v>
      </c>
      <c r="H10" s="21" t="s">
        <v>1290</v>
      </c>
    </row>
    <row r="11" spans="1:8" ht="30" customHeight="1" x14ac:dyDescent="0.2">
      <c r="A11" s="14" t="s">
        <v>1281</v>
      </c>
      <c r="B11" s="14" t="s">
        <v>1282</v>
      </c>
      <c r="C11" s="15" t="s">
        <v>1291</v>
      </c>
      <c r="D11" s="16" t="s">
        <v>1292</v>
      </c>
      <c r="E11" s="17">
        <v>2</v>
      </c>
      <c r="F11" s="18" t="s">
        <v>216</v>
      </c>
      <c r="G11" s="16" t="s">
        <v>1293</v>
      </c>
      <c r="H11" s="16" t="s">
        <v>1294</v>
      </c>
    </row>
    <row r="12" spans="1:8" ht="30" customHeight="1" x14ac:dyDescent="0.2">
      <c r="A12" s="19" t="s">
        <v>1281</v>
      </c>
      <c r="B12" s="19" t="s">
        <v>1282</v>
      </c>
      <c r="C12" s="20" t="s">
        <v>1295</v>
      </c>
      <c r="D12" s="21" t="s">
        <v>1296</v>
      </c>
      <c r="E12" s="23">
        <v>3</v>
      </c>
      <c r="F12" s="18" t="s">
        <v>100</v>
      </c>
      <c r="G12" s="21" t="s">
        <v>1297</v>
      </c>
      <c r="H12" s="21" t="s">
        <v>1298</v>
      </c>
    </row>
    <row r="13" spans="1:8" ht="30" customHeight="1" x14ac:dyDescent="0.2">
      <c r="A13" s="14" t="s">
        <v>1281</v>
      </c>
      <c r="B13" s="14" t="s">
        <v>1282</v>
      </c>
      <c r="C13" s="15" t="s">
        <v>1299</v>
      </c>
      <c r="D13" s="16" t="s">
        <v>1300</v>
      </c>
      <c r="E13" s="23">
        <v>3</v>
      </c>
      <c r="F13" s="18" t="s">
        <v>100</v>
      </c>
      <c r="G13" s="16" t="s">
        <v>1301</v>
      </c>
      <c r="H13" s="16" t="s">
        <v>1302</v>
      </c>
    </row>
    <row r="14" spans="1:8" ht="18" customHeight="1" x14ac:dyDescent="0.2">
      <c r="A14" s="13" t="s">
        <v>1303</v>
      </c>
      <c r="B14" s="13" t="s">
        <v>1304</v>
      </c>
      <c r="C14" s="13"/>
      <c r="D14" s="13"/>
      <c r="E14" s="13"/>
      <c r="F14" s="13"/>
      <c r="G14" s="13"/>
      <c r="H14" s="13"/>
    </row>
    <row r="15" spans="1:8" ht="30" customHeight="1" x14ac:dyDescent="0.2">
      <c r="A15" s="14" t="s">
        <v>1303</v>
      </c>
      <c r="B15" s="14" t="s">
        <v>1304</v>
      </c>
      <c r="C15" s="15" t="s">
        <v>1305</v>
      </c>
      <c r="D15" s="16" t="s">
        <v>1306</v>
      </c>
      <c r="E15" s="22">
        <v>1</v>
      </c>
      <c r="F15" s="18" t="s">
        <v>12</v>
      </c>
      <c r="G15" s="16" t="s">
        <v>1307</v>
      </c>
      <c r="H15" s="16" t="s">
        <v>1308</v>
      </c>
    </row>
    <row r="16" spans="1:8" ht="30" customHeight="1" x14ac:dyDescent="0.2">
      <c r="A16" s="19" t="s">
        <v>1303</v>
      </c>
      <c r="B16" s="19" t="s">
        <v>1304</v>
      </c>
      <c r="C16" s="20" t="s">
        <v>1309</v>
      </c>
      <c r="D16" s="21" t="s">
        <v>1310</v>
      </c>
      <c r="E16" s="17">
        <v>2</v>
      </c>
      <c r="F16" s="18" t="s">
        <v>100</v>
      </c>
      <c r="G16" s="21" t="s">
        <v>1311</v>
      </c>
      <c r="H16" s="21" t="s">
        <v>1312</v>
      </c>
    </row>
    <row r="17" spans="1:8" ht="30" customHeight="1" x14ac:dyDescent="0.2">
      <c r="A17" s="14" t="s">
        <v>1303</v>
      </c>
      <c r="B17" s="14" t="s">
        <v>1304</v>
      </c>
      <c r="C17" s="15" t="s">
        <v>1313</v>
      </c>
      <c r="D17" s="16" t="s">
        <v>1314</v>
      </c>
      <c r="E17" s="17">
        <v>2</v>
      </c>
      <c r="F17" s="18" t="s">
        <v>12</v>
      </c>
      <c r="G17" s="16" t="s">
        <v>1315</v>
      </c>
      <c r="H17" s="16" t="s">
        <v>1316</v>
      </c>
    </row>
    <row r="18" spans="1:8" ht="30" customHeight="1" x14ac:dyDescent="0.2">
      <c r="A18" s="19" t="s">
        <v>1303</v>
      </c>
      <c r="B18" s="19" t="s">
        <v>1304</v>
      </c>
      <c r="C18" s="20" t="s">
        <v>1317</v>
      </c>
      <c r="D18" s="21" t="s">
        <v>1318</v>
      </c>
      <c r="E18" s="17">
        <v>2</v>
      </c>
      <c r="F18" s="18" t="s">
        <v>100</v>
      </c>
      <c r="G18" s="21" t="s">
        <v>1319</v>
      </c>
      <c r="H18" s="21" t="s">
        <v>1320</v>
      </c>
    </row>
    <row r="19" spans="1:8" ht="30" customHeight="1" x14ac:dyDescent="0.2">
      <c r="A19" s="14" t="s">
        <v>1303</v>
      </c>
      <c r="B19" s="14" t="s">
        <v>1304</v>
      </c>
      <c r="C19" s="15" t="s">
        <v>1321</v>
      </c>
      <c r="D19" s="16" t="s">
        <v>1322</v>
      </c>
      <c r="E19" s="17">
        <v>2</v>
      </c>
      <c r="F19" s="18" t="s">
        <v>12</v>
      </c>
      <c r="G19" s="16" t="s">
        <v>1323</v>
      </c>
      <c r="H19" s="16" t="s">
        <v>1324</v>
      </c>
    </row>
    <row r="20" spans="1:8" ht="30" customHeight="1" x14ac:dyDescent="0.2">
      <c r="A20" s="19" t="s">
        <v>1303</v>
      </c>
      <c r="B20" s="19" t="s">
        <v>1304</v>
      </c>
      <c r="C20" s="20" t="s">
        <v>1325</v>
      </c>
      <c r="D20" s="21" t="s">
        <v>1326</v>
      </c>
      <c r="E20" s="17">
        <v>2</v>
      </c>
      <c r="F20" s="18" t="s">
        <v>23</v>
      </c>
      <c r="G20" s="21" t="s">
        <v>1327</v>
      </c>
      <c r="H20" s="21" t="s">
        <v>33</v>
      </c>
    </row>
    <row r="21" spans="1:8" ht="30" customHeight="1" x14ac:dyDescent="0.2">
      <c r="A21" s="14" t="s">
        <v>1303</v>
      </c>
      <c r="B21" s="14" t="s">
        <v>1304</v>
      </c>
      <c r="C21" s="15" t="s">
        <v>1328</v>
      </c>
      <c r="D21" s="16" t="s">
        <v>1329</v>
      </c>
      <c r="E21" s="17">
        <v>2</v>
      </c>
      <c r="F21" s="18" t="s">
        <v>12</v>
      </c>
      <c r="G21" s="16" t="s">
        <v>1330</v>
      </c>
      <c r="H21" s="16" t="s">
        <v>1331</v>
      </c>
    </row>
    <row r="22" spans="1:8" ht="18" customHeight="1" x14ac:dyDescent="0.2">
      <c r="A22" s="13" t="s">
        <v>1332</v>
      </c>
      <c r="B22" s="13" t="s">
        <v>1333</v>
      </c>
      <c r="C22" s="13"/>
      <c r="D22" s="13"/>
      <c r="E22" s="13"/>
      <c r="F22" s="13"/>
      <c r="G22" s="13"/>
      <c r="H22" s="13"/>
    </row>
    <row r="23" spans="1:8" ht="30" customHeight="1" x14ac:dyDescent="0.2">
      <c r="A23" s="14" t="s">
        <v>1332</v>
      </c>
      <c r="B23" s="14" t="s">
        <v>1333</v>
      </c>
      <c r="C23" s="15" t="s">
        <v>1334</v>
      </c>
      <c r="D23" s="16" t="s">
        <v>1335</v>
      </c>
      <c r="E23" s="23">
        <v>3</v>
      </c>
      <c r="F23" s="18" t="s">
        <v>100</v>
      </c>
      <c r="G23" s="16" t="s">
        <v>1336</v>
      </c>
      <c r="H23" s="16" t="s">
        <v>1337</v>
      </c>
    </row>
    <row r="24" spans="1:8" ht="30" customHeight="1" x14ac:dyDescent="0.2">
      <c r="A24" s="19" t="s">
        <v>1332</v>
      </c>
      <c r="B24" s="19" t="s">
        <v>1333</v>
      </c>
      <c r="C24" s="20" t="s">
        <v>1338</v>
      </c>
      <c r="D24" s="21" t="s">
        <v>1339</v>
      </c>
      <c r="E24" s="23">
        <v>3</v>
      </c>
      <c r="F24" s="18" t="s">
        <v>12</v>
      </c>
      <c r="G24" s="21" t="s">
        <v>1340</v>
      </c>
      <c r="H24" s="21" t="s">
        <v>1341</v>
      </c>
    </row>
    <row r="25" spans="1:8" ht="30" customHeight="1" x14ac:dyDescent="0.2">
      <c r="A25" s="14" t="s">
        <v>1332</v>
      </c>
      <c r="B25" s="14" t="s">
        <v>1333</v>
      </c>
      <c r="C25" s="15" t="s">
        <v>1342</v>
      </c>
      <c r="D25" s="16" t="s">
        <v>1343</v>
      </c>
      <c r="E25" s="23">
        <v>3</v>
      </c>
      <c r="F25" s="18" t="s">
        <v>100</v>
      </c>
      <c r="G25" s="16" t="s">
        <v>1344</v>
      </c>
      <c r="H25" s="16" t="s">
        <v>1345</v>
      </c>
    </row>
    <row r="26" spans="1:8" ht="30" customHeight="1" x14ac:dyDescent="0.2">
      <c r="A26" s="19" t="s">
        <v>1332</v>
      </c>
      <c r="B26" s="19" t="s">
        <v>1333</v>
      </c>
      <c r="C26" s="20" t="s">
        <v>1346</v>
      </c>
      <c r="D26" s="21" t="s">
        <v>1347</v>
      </c>
      <c r="E26" s="23">
        <v>3</v>
      </c>
      <c r="F26" s="18" t="s">
        <v>100</v>
      </c>
      <c r="G26" s="21" t="s">
        <v>1348</v>
      </c>
      <c r="H26" s="21" t="s">
        <v>1349</v>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1350</v>
      </c>
      <c r="B2" s="13" t="s">
        <v>1351</v>
      </c>
      <c r="C2" s="13"/>
      <c r="D2" s="13"/>
      <c r="E2" s="13"/>
      <c r="F2" s="13"/>
      <c r="G2" s="13"/>
      <c r="H2" s="13"/>
    </row>
    <row r="3" spans="1:8" ht="30" customHeight="1" x14ac:dyDescent="0.2">
      <c r="A3" s="14" t="s">
        <v>1350</v>
      </c>
      <c r="B3" s="14" t="s">
        <v>1351</v>
      </c>
      <c r="C3" s="15" t="s">
        <v>1352</v>
      </c>
      <c r="D3" s="16" t="s">
        <v>1353</v>
      </c>
      <c r="E3" s="17">
        <v>2</v>
      </c>
      <c r="F3" s="18" t="s">
        <v>100</v>
      </c>
      <c r="G3" s="16" t="s">
        <v>1354</v>
      </c>
      <c r="H3" s="16" t="s">
        <v>1355</v>
      </c>
    </row>
    <row r="4" spans="1:8" ht="18" customHeight="1" x14ac:dyDescent="0.2">
      <c r="A4" s="13" t="s">
        <v>1356</v>
      </c>
      <c r="B4" s="13" t="s">
        <v>1357</v>
      </c>
      <c r="C4" s="13"/>
      <c r="D4" s="13"/>
      <c r="E4" s="13"/>
      <c r="F4" s="13"/>
      <c r="G4" s="13"/>
      <c r="H4" s="13"/>
    </row>
    <row r="5" spans="1:8" ht="30" customHeight="1" x14ac:dyDescent="0.2">
      <c r="A5" s="14" t="s">
        <v>1356</v>
      </c>
      <c r="B5" s="14" t="s">
        <v>1357</v>
      </c>
      <c r="C5" s="15" t="s">
        <v>1358</v>
      </c>
      <c r="D5" s="16" t="s">
        <v>1359</v>
      </c>
      <c r="E5" s="17">
        <v>2</v>
      </c>
      <c r="F5" s="18" t="s">
        <v>12</v>
      </c>
      <c r="G5" s="16" t="s">
        <v>1360</v>
      </c>
      <c r="H5" s="16" t="s">
        <v>1361</v>
      </c>
    </row>
    <row r="6" spans="1:8" ht="30" customHeight="1" x14ac:dyDescent="0.2">
      <c r="A6" s="19" t="s">
        <v>1356</v>
      </c>
      <c r="B6" s="19" t="s">
        <v>1357</v>
      </c>
      <c r="C6" s="20" t="s">
        <v>1362</v>
      </c>
      <c r="D6" s="21" t="s">
        <v>1363</v>
      </c>
      <c r="E6" s="17">
        <v>2</v>
      </c>
      <c r="F6" s="18" t="s">
        <v>100</v>
      </c>
      <c r="G6" s="21" t="s">
        <v>1364</v>
      </c>
      <c r="H6" s="21" t="s">
        <v>1365</v>
      </c>
    </row>
    <row r="7" spans="1:8" ht="30" customHeight="1" x14ac:dyDescent="0.2">
      <c r="A7" s="14" t="s">
        <v>1356</v>
      </c>
      <c r="B7" s="14" t="s">
        <v>1357</v>
      </c>
      <c r="C7" s="15" t="s">
        <v>1366</v>
      </c>
      <c r="D7" s="16" t="s">
        <v>1367</v>
      </c>
      <c r="E7" s="17">
        <v>2</v>
      </c>
      <c r="F7" s="18" t="s">
        <v>12</v>
      </c>
      <c r="G7" s="16" t="s">
        <v>1368</v>
      </c>
      <c r="H7" s="16" t="s">
        <v>1369</v>
      </c>
    </row>
    <row r="8" spans="1:8" ht="30" customHeight="1" x14ac:dyDescent="0.2">
      <c r="A8" s="19" t="s">
        <v>1356</v>
      </c>
      <c r="B8" s="19" t="s">
        <v>1357</v>
      </c>
      <c r="C8" s="20" t="s">
        <v>1370</v>
      </c>
      <c r="D8" s="21" t="s">
        <v>1371</v>
      </c>
      <c r="E8" s="17">
        <v>2</v>
      </c>
      <c r="F8" s="18" t="s">
        <v>12</v>
      </c>
      <c r="G8" s="21" t="s">
        <v>1372</v>
      </c>
      <c r="H8" s="21" t="s">
        <v>1373</v>
      </c>
    </row>
    <row r="9" spans="1:8" ht="30" customHeight="1" x14ac:dyDescent="0.2">
      <c r="A9" s="14" t="s">
        <v>1356</v>
      </c>
      <c r="B9" s="14" t="s">
        <v>1357</v>
      </c>
      <c r="C9" s="15" t="s">
        <v>1374</v>
      </c>
      <c r="D9" s="16" t="s">
        <v>1375</v>
      </c>
      <c r="E9" s="17">
        <v>2</v>
      </c>
      <c r="F9" s="18" t="s">
        <v>12</v>
      </c>
      <c r="G9" s="16" t="s">
        <v>1376</v>
      </c>
      <c r="H9" s="16" t="s">
        <v>1377</v>
      </c>
    </row>
    <row r="10" spans="1:8" ht="18" customHeight="1" x14ac:dyDescent="0.2">
      <c r="A10" s="13" t="s">
        <v>1378</v>
      </c>
      <c r="B10" s="13" t="s">
        <v>1379</v>
      </c>
      <c r="C10" s="13"/>
      <c r="D10" s="13"/>
      <c r="E10" s="13"/>
      <c r="F10" s="13"/>
      <c r="G10" s="13"/>
      <c r="H10" s="13"/>
    </row>
    <row r="11" spans="1:8" ht="30" customHeight="1" x14ac:dyDescent="0.2">
      <c r="A11" s="14" t="s">
        <v>1378</v>
      </c>
      <c r="B11" s="14" t="s">
        <v>1379</v>
      </c>
      <c r="C11" s="15" t="s">
        <v>1380</v>
      </c>
      <c r="D11" s="16" t="s">
        <v>1381</v>
      </c>
      <c r="E11" s="17">
        <v>2</v>
      </c>
      <c r="F11" s="18" t="s">
        <v>12</v>
      </c>
      <c r="G11" s="16" t="s">
        <v>1382</v>
      </c>
      <c r="H11" s="16" t="s">
        <v>1383</v>
      </c>
    </row>
    <row r="12" spans="1:8" ht="30" customHeight="1" x14ac:dyDescent="0.2">
      <c r="A12" s="19" t="s">
        <v>1378</v>
      </c>
      <c r="B12" s="19" t="s">
        <v>1379</v>
      </c>
      <c r="C12" s="20" t="s">
        <v>1384</v>
      </c>
      <c r="D12" s="21" t="s">
        <v>1385</v>
      </c>
      <c r="E12" s="17">
        <v>2</v>
      </c>
      <c r="F12" s="18" t="s">
        <v>12</v>
      </c>
      <c r="G12" s="21" t="s">
        <v>1386</v>
      </c>
      <c r="H12" s="21" t="s">
        <v>1387</v>
      </c>
    </row>
    <row r="13" spans="1:8" ht="30" customHeight="1" x14ac:dyDescent="0.2">
      <c r="A13" s="14" t="s">
        <v>1378</v>
      </c>
      <c r="B13" s="14" t="s">
        <v>1379</v>
      </c>
      <c r="C13" s="15" t="s">
        <v>1388</v>
      </c>
      <c r="D13" s="16" t="s">
        <v>1389</v>
      </c>
      <c r="E13" s="17">
        <v>2</v>
      </c>
      <c r="F13" s="18" t="s">
        <v>100</v>
      </c>
      <c r="G13" s="16" t="s">
        <v>1390</v>
      </c>
      <c r="H13" s="16" t="s">
        <v>1391</v>
      </c>
    </row>
    <row r="14" spans="1:8" ht="30" customHeight="1" x14ac:dyDescent="0.2">
      <c r="A14" s="19" t="s">
        <v>1378</v>
      </c>
      <c r="B14" s="19" t="s">
        <v>1379</v>
      </c>
      <c r="C14" s="20" t="s">
        <v>1392</v>
      </c>
      <c r="D14" s="21" t="s">
        <v>1393</v>
      </c>
      <c r="E14" s="17">
        <v>2</v>
      </c>
      <c r="F14" s="18" t="s">
        <v>12</v>
      </c>
      <c r="G14" s="21" t="s">
        <v>1394</v>
      </c>
      <c r="H14" s="21" t="s">
        <v>1395</v>
      </c>
    </row>
    <row r="15" spans="1:8" ht="18" customHeight="1" x14ac:dyDescent="0.2">
      <c r="A15" s="13" t="s">
        <v>1396</v>
      </c>
      <c r="B15" s="13" t="s">
        <v>1397</v>
      </c>
      <c r="C15" s="13"/>
      <c r="D15" s="13"/>
      <c r="E15" s="13"/>
      <c r="F15" s="13"/>
      <c r="G15" s="13"/>
      <c r="H15" s="13"/>
    </row>
    <row r="16" spans="1:8" ht="30" customHeight="1" x14ac:dyDescent="0.2">
      <c r="A16" s="14" t="s">
        <v>1396</v>
      </c>
      <c r="B16" s="14" t="s">
        <v>1397</v>
      </c>
      <c r="C16" s="15" t="s">
        <v>1398</v>
      </c>
      <c r="D16" s="16" t="s">
        <v>1399</v>
      </c>
      <c r="E16" s="17">
        <v>2</v>
      </c>
      <c r="F16" s="18" t="s">
        <v>12</v>
      </c>
      <c r="G16" s="16" t="s">
        <v>1400</v>
      </c>
      <c r="H16" s="16" t="s">
        <v>1401</v>
      </c>
    </row>
    <row r="17" spans="1:8" ht="30" customHeight="1" x14ac:dyDescent="0.2">
      <c r="A17" s="19" t="s">
        <v>1396</v>
      </c>
      <c r="B17" s="19" t="s">
        <v>1397</v>
      </c>
      <c r="C17" s="20" t="s">
        <v>1402</v>
      </c>
      <c r="D17" s="21" t="s">
        <v>1403</v>
      </c>
      <c r="E17" s="17">
        <v>2</v>
      </c>
      <c r="F17" s="18" t="s">
        <v>12</v>
      </c>
      <c r="G17" s="21" t="s">
        <v>1404</v>
      </c>
      <c r="H17" s="21" t="s">
        <v>1405</v>
      </c>
    </row>
    <row r="18" spans="1:8" ht="30" customHeight="1" x14ac:dyDescent="0.2">
      <c r="A18" s="14" t="s">
        <v>1396</v>
      </c>
      <c r="B18" s="14" t="s">
        <v>1397</v>
      </c>
      <c r="C18" s="15" t="s">
        <v>1406</v>
      </c>
      <c r="D18" s="16" t="s">
        <v>1407</v>
      </c>
      <c r="E18" s="17">
        <v>2</v>
      </c>
      <c r="F18" s="18" t="s">
        <v>216</v>
      </c>
      <c r="G18" s="16" t="s">
        <v>1408</v>
      </c>
      <c r="H18" s="16" t="s">
        <v>1409</v>
      </c>
    </row>
    <row r="19" spans="1:8" ht="18" customHeight="1" x14ac:dyDescent="0.2">
      <c r="A19" s="13" t="s">
        <v>1410</v>
      </c>
      <c r="B19" s="13" t="s">
        <v>1411</v>
      </c>
      <c r="C19" s="13"/>
      <c r="D19" s="13"/>
      <c r="E19" s="13"/>
      <c r="F19" s="13"/>
      <c r="G19" s="13"/>
      <c r="H19" s="13"/>
    </row>
    <row r="20" spans="1:8" ht="30" customHeight="1" x14ac:dyDescent="0.2">
      <c r="A20" s="14" t="s">
        <v>1410</v>
      </c>
      <c r="B20" s="14" t="s">
        <v>1411</v>
      </c>
      <c r="C20" s="15" t="s">
        <v>1412</v>
      </c>
      <c r="D20" s="16" t="s">
        <v>1413</v>
      </c>
      <c r="E20" s="17">
        <v>2</v>
      </c>
      <c r="F20" s="18" t="s">
        <v>12</v>
      </c>
      <c r="G20" s="16" t="s">
        <v>1414</v>
      </c>
      <c r="H20" s="16" t="s">
        <v>1415</v>
      </c>
    </row>
    <row r="21" spans="1:8" ht="30" customHeight="1" x14ac:dyDescent="0.2">
      <c r="A21" s="19" t="s">
        <v>1410</v>
      </c>
      <c r="B21" s="19" t="s">
        <v>1411</v>
      </c>
      <c r="C21" s="20" t="s">
        <v>1416</v>
      </c>
      <c r="D21" s="21" t="s">
        <v>1417</v>
      </c>
      <c r="E21" s="17">
        <v>2</v>
      </c>
      <c r="F21" s="18" t="s">
        <v>12</v>
      </c>
      <c r="G21" s="21" t="s">
        <v>1418</v>
      </c>
      <c r="H21" s="21" t="s">
        <v>1419</v>
      </c>
    </row>
    <row r="22" spans="1:8" ht="30" customHeight="1" x14ac:dyDescent="0.2">
      <c r="A22" s="14" t="s">
        <v>1410</v>
      </c>
      <c r="B22" s="14" t="s">
        <v>1411</v>
      </c>
      <c r="C22" s="15" t="s">
        <v>1420</v>
      </c>
      <c r="D22" s="16" t="s">
        <v>1421</v>
      </c>
      <c r="E22" s="17">
        <v>2</v>
      </c>
      <c r="F22" s="18" t="s">
        <v>12</v>
      </c>
      <c r="G22" s="16" t="s">
        <v>1422</v>
      </c>
      <c r="H22" s="16" t="s">
        <v>1423</v>
      </c>
    </row>
    <row r="23" spans="1:8" ht="30" customHeight="1" x14ac:dyDescent="0.2">
      <c r="A23" s="19" t="s">
        <v>1410</v>
      </c>
      <c r="B23" s="19" t="s">
        <v>1411</v>
      </c>
      <c r="C23" s="20" t="s">
        <v>1424</v>
      </c>
      <c r="D23" s="21" t="s">
        <v>1425</v>
      </c>
      <c r="E23" s="23">
        <v>3</v>
      </c>
      <c r="F23" s="18" t="s">
        <v>12</v>
      </c>
      <c r="G23" s="21" t="s">
        <v>1426</v>
      </c>
      <c r="H23" s="21" t="s">
        <v>1427</v>
      </c>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sheetView>
  </sheetViews>
  <sheetFormatPr baseColWidth="10" defaultColWidth="8.5" defaultRowHeight="15" x14ac:dyDescent="0.2"/>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8" customHeight="1" x14ac:dyDescent="0.2">
      <c r="A1" s="12" t="s">
        <v>0</v>
      </c>
      <c r="B1" s="12" t="s">
        <v>1</v>
      </c>
      <c r="C1" s="12" t="s">
        <v>2</v>
      </c>
      <c r="D1" s="12" t="s">
        <v>3</v>
      </c>
      <c r="E1" s="12" t="s">
        <v>4</v>
      </c>
      <c r="F1" s="12" t="s">
        <v>5</v>
      </c>
      <c r="G1" s="12" t="s">
        <v>6</v>
      </c>
      <c r="H1" s="12" t="s">
        <v>7</v>
      </c>
    </row>
    <row r="2" spans="1:8" ht="18" customHeight="1" x14ac:dyDescent="0.2">
      <c r="A2" s="13" t="s">
        <v>1428</v>
      </c>
      <c r="B2" s="13" t="s">
        <v>1429</v>
      </c>
      <c r="C2" s="13"/>
      <c r="D2" s="13"/>
      <c r="E2" s="13"/>
      <c r="F2" s="13"/>
      <c r="G2" s="13"/>
      <c r="H2" s="13"/>
    </row>
    <row r="3" spans="1:8" ht="30" customHeight="1" x14ac:dyDescent="0.2">
      <c r="A3" s="14" t="s">
        <v>1428</v>
      </c>
      <c r="B3" s="14" t="s">
        <v>1429</v>
      </c>
      <c r="C3" s="15" t="s">
        <v>1430</v>
      </c>
      <c r="D3" s="16" t="s">
        <v>1431</v>
      </c>
      <c r="E3" s="17">
        <v>2</v>
      </c>
      <c r="F3" s="18" t="s">
        <v>23</v>
      </c>
      <c r="G3" s="16" t="s">
        <v>1432</v>
      </c>
      <c r="H3" s="16" t="s">
        <v>1433</v>
      </c>
    </row>
    <row r="4" spans="1:8" ht="30" customHeight="1" x14ac:dyDescent="0.2">
      <c r="A4" s="19" t="s">
        <v>1428</v>
      </c>
      <c r="B4" s="19" t="s">
        <v>1429</v>
      </c>
      <c r="C4" s="20" t="s">
        <v>1434</v>
      </c>
      <c r="D4" s="21" t="s">
        <v>1435</v>
      </c>
      <c r="E4" s="23">
        <v>3</v>
      </c>
      <c r="F4" s="18" t="s">
        <v>23</v>
      </c>
      <c r="G4" s="21" t="s">
        <v>1432</v>
      </c>
      <c r="H4" s="21" t="s">
        <v>33</v>
      </c>
    </row>
    <row r="5" spans="1:8" ht="18" customHeight="1" x14ac:dyDescent="0.2">
      <c r="A5" s="13" t="s">
        <v>1436</v>
      </c>
      <c r="B5" s="13" t="s">
        <v>1437</v>
      </c>
      <c r="C5" s="13"/>
      <c r="D5" s="13"/>
      <c r="E5" s="13"/>
      <c r="F5" s="13"/>
      <c r="G5" s="13"/>
      <c r="H5" s="13"/>
    </row>
    <row r="6" spans="1:8" ht="30" customHeight="1" x14ac:dyDescent="0.2">
      <c r="A6" s="14" t="s">
        <v>1436</v>
      </c>
      <c r="B6" s="14" t="s">
        <v>1437</v>
      </c>
      <c r="C6" s="15" t="s">
        <v>1438</v>
      </c>
      <c r="D6" s="16" t="s">
        <v>1439</v>
      </c>
      <c r="E6" s="17">
        <v>2</v>
      </c>
      <c r="F6" s="18" t="s">
        <v>23</v>
      </c>
      <c r="G6" s="16" t="s">
        <v>1440</v>
      </c>
      <c r="H6" s="16" t="s">
        <v>33</v>
      </c>
    </row>
    <row r="7" spans="1:8" ht="30" customHeight="1" x14ac:dyDescent="0.2">
      <c r="A7" s="19" t="s">
        <v>1436</v>
      </c>
      <c r="B7" s="19" t="s">
        <v>1437</v>
      </c>
      <c r="C7" s="20" t="s">
        <v>1441</v>
      </c>
      <c r="D7" s="21" t="s">
        <v>1442</v>
      </c>
      <c r="E7" s="17">
        <v>2</v>
      </c>
      <c r="F7" s="18" t="s">
        <v>23</v>
      </c>
      <c r="G7" s="21" t="s">
        <v>1443</v>
      </c>
      <c r="H7" s="21" t="s">
        <v>33</v>
      </c>
    </row>
    <row r="8" spans="1:8" ht="30" customHeight="1" x14ac:dyDescent="0.2">
      <c r="A8" s="14" t="s">
        <v>1436</v>
      </c>
      <c r="B8" s="14" t="s">
        <v>1437</v>
      </c>
      <c r="C8" s="15" t="s">
        <v>1444</v>
      </c>
      <c r="D8" s="16" t="s">
        <v>1445</v>
      </c>
      <c r="E8" s="17">
        <v>2</v>
      </c>
      <c r="F8" s="18" t="s">
        <v>23</v>
      </c>
      <c r="G8" s="16" t="s">
        <v>1446</v>
      </c>
      <c r="H8" s="16" t="s">
        <v>33</v>
      </c>
    </row>
    <row r="9" spans="1:8" ht="30" customHeight="1" x14ac:dyDescent="0.2">
      <c r="A9" s="19" t="s">
        <v>1436</v>
      </c>
      <c r="B9" s="19" t="s">
        <v>1437</v>
      </c>
      <c r="C9" s="20" t="s">
        <v>1447</v>
      </c>
      <c r="D9" s="21" t="s">
        <v>1448</v>
      </c>
      <c r="E9" s="17">
        <v>2</v>
      </c>
      <c r="F9" s="18" t="s">
        <v>23</v>
      </c>
      <c r="G9" s="21" t="s">
        <v>1449</v>
      </c>
      <c r="H9" s="21" t="s">
        <v>33</v>
      </c>
    </row>
    <row r="10" spans="1:8" ht="30" customHeight="1" x14ac:dyDescent="0.2">
      <c r="A10" s="14" t="s">
        <v>1436</v>
      </c>
      <c r="B10" s="14" t="s">
        <v>1437</v>
      </c>
      <c r="C10" s="15" t="s">
        <v>1450</v>
      </c>
      <c r="D10" s="16" t="s">
        <v>1451</v>
      </c>
      <c r="E10" s="23">
        <v>3</v>
      </c>
      <c r="F10" s="18" t="s">
        <v>23</v>
      </c>
      <c r="G10" s="16" t="s">
        <v>1449</v>
      </c>
      <c r="H10" s="16" t="s">
        <v>33</v>
      </c>
    </row>
    <row r="11" spans="1:8" ht="30" customHeight="1" x14ac:dyDescent="0.2">
      <c r="A11" s="19" t="s">
        <v>1436</v>
      </c>
      <c r="B11" s="19" t="s">
        <v>1437</v>
      </c>
      <c r="C11" s="20" t="s">
        <v>1452</v>
      </c>
      <c r="D11" s="21" t="s">
        <v>1453</v>
      </c>
      <c r="E11" s="23">
        <v>3</v>
      </c>
      <c r="F11" s="18" t="s">
        <v>23</v>
      </c>
      <c r="G11" s="21" t="s">
        <v>1454</v>
      </c>
      <c r="H11" s="21" t="s">
        <v>33</v>
      </c>
    </row>
    <row r="12" spans="1:8" ht="30" customHeight="1" x14ac:dyDescent="0.2">
      <c r="A12" s="14" t="s">
        <v>1436</v>
      </c>
      <c r="B12" s="14" t="s">
        <v>1437</v>
      </c>
      <c r="C12" s="15" t="s">
        <v>1455</v>
      </c>
      <c r="D12" s="16" t="s">
        <v>1456</v>
      </c>
      <c r="E12" s="23">
        <v>3</v>
      </c>
      <c r="F12" s="18" t="s">
        <v>23</v>
      </c>
      <c r="G12" s="16" t="s">
        <v>1457</v>
      </c>
      <c r="H12" s="16" t="s">
        <v>33</v>
      </c>
    </row>
    <row r="13" spans="1:8" ht="30" customHeight="1" x14ac:dyDescent="0.2">
      <c r="A13" s="19" t="s">
        <v>1436</v>
      </c>
      <c r="B13" s="19" t="s">
        <v>1437</v>
      </c>
      <c r="C13" s="20" t="s">
        <v>1458</v>
      </c>
      <c r="D13" s="21" t="s">
        <v>1459</v>
      </c>
      <c r="E13" s="23">
        <v>3</v>
      </c>
      <c r="F13" s="18" t="s">
        <v>23</v>
      </c>
      <c r="G13" s="21" t="s">
        <v>1460</v>
      </c>
      <c r="H13" s="21" t="s">
        <v>33</v>
      </c>
    </row>
    <row r="14" spans="1:8" ht="18" customHeight="1" x14ac:dyDescent="0.2">
      <c r="A14" s="13" t="s">
        <v>1461</v>
      </c>
      <c r="B14" s="13" t="s">
        <v>1462</v>
      </c>
      <c r="C14" s="13"/>
      <c r="D14" s="13"/>
      <c r="E14" s="13"/>
      <c r="F14" s="13"/>
      <c r="G14" s="13"/>
      <c r="H14" s="13"/>
    </row>
    <row r="15" spans="1:8" ht="30" customHeight="1" x14ac:dyDescent="0.2">
      <c r="A15" s="14" t="s">
        <v>1461</v>
      </c>
      <c r="B15" s="14" t="s">
        <v>1462</v>
      </c>
      <c r="C15" s="15" t="s">
        <v>1463</v>
      </c>
      <c r="D15" s="16" t="s">
        <v>1464</v>
      </c>
      <c r="E15" s="17">
        <v>2</v>
      </c>
      <c r="F15" s="18" t="s">
        <v>23</v>
      </c>
      <c r="G15" s="16" t="s">
        <v>1465</v>
      </c>
      <c r="H15" s="16" t="s">
        <v>33</v>
      </c>
    </row>
    <row r="16" spans="1:8" ht="30" customHeight="1" x14ac:dyDescent="0.2">
      <c r="A16" s="19" t="s">
        <v>1461</v>
      </c>
      <c r="B16" s="19" t="s">
        <v>1462</v>
      </c>
      <c r="C16" s="20" t="s">
        <v>1466</v>
      </c>
      <c r="D16" s="21" t="s">
        <v>1467</v>
      </c>
      <c r="E16" s="17">
        <v>2</v>
      </c>
      <c r="F16" s="18" t="s">
        <v>23</v>
      </c>
      <c r="G16" s="21" t="s">
        <v>1465</v>
      </c>
      <c r="H16" s="21" t="s">
        <v>33</v>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V1 - Encoding and Sanitization</vt:lpstr>
      <vt:lpstr>V2 - Validation and Business Lo</vt:lpstr>
      <vt:lpstr>V3 - Web Frontend Security</vt:lpstr>
      <vt:lpstr>V4 - API and Web Service</vt:lpstr>
      <vt:lpstr>V5 - File Handling</vt:lpstr>
      <vt:lpstr>V6 - Authentication</vt:lpstr>
      <vt:lpstr>V7 - Session Management</vt:lpstr>
      <vt:lpstr>V8 - Authorization</vt:lpstr>
      <vt:lpstr>V9 - Self-contained Tokens</vt:lpstr>
      <vt:lpstr>V10 - OAuth and OIDC</vt:lpstr>
      <vt:lpstr>V11 - Cryptography</vt:lpstr>
      <vt:lpstr>V12 - Secure Communication</vt:lpstr>
      <vt:lpstr>V13 - Configuration</vt:lpstr>
      <vt:lpstr>V14 - Data Protection</vt:lpstr>
      <vt:lpstr>V15 - Secure Coding and Archite</vt:lpstr>
      <vt:lpstr>V16 - Security Logging and Erro</vt:lpstr>
      <vt:lpstr>V17 - WebRTC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Ribeiro Vales Da Mota Freitas</cp:lastModifiedBy>
  <cp:revision>3</cp:revision>
  <dcterms:created xsi:type="dcterms:W3CDTF">2026-03-04T10:14:28Z</dcterms:created>
  <dcterms:modified xsi:type="dcterms:W3CDTF">2026-06-16T01:33:31Z</dcterms:modified>
  <dc:language>pt-PT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ies>
</file>